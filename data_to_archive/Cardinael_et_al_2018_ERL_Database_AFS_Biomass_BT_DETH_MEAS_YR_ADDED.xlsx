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omassData"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<sst xmlns="http://schemas.openxmlformats.org/spreadsheetml/2006/main" count="4474" uniqueCount="630">
  <si>
    <t xml:space="preserve">ID</t>
  </si>
  <si>
    <t xml:space="preserve">Description</t>
  </si>
  <si>
    <t xml:space="preserve">Technologies/Practices</t>
  </si>
  <si>
    <t xml:space="preserve">Parameters/Conditions</t>
  </si>
  <si>
    <t xml:space="preserve">Region/Regional Conditions</t>
  </si>
  <si>
    <t xml:space="preserve">Other Properties</t>
  </si>
  <si>
    <t xml:space="preserve">Value</t>
  </si>
  <si>
    <t xml:space="preserve">Unit</t>
  </si>
  <si>
    <t xml:space="preserve">Value in common units</t>
  </si>
  <si>
    <t xml:space="preserve">Common Unit</t>
  </si>
  <si>
    <t xml:space="preserve">Full Technical Reference</t>
  </si>
  <si>
    <t xml:space="preserve">MEAS_YR</t>
  </si>
  <si>
    <t xml:space="preserve">Type of Parameter</t>
  </si>
  <si>
    <t xml:space="preserve">Latitud(DD)</t>
  </si>
  <si>
    <t xml:space="preserve">Logitud(DD)</t>
  </si>
  <si>
    <t xml:space="preserve">IPCC Simplified </t>
  </si>
  <si>
    <t xml:space="preserve">IPCC Climate zones </t>
  </si>
  <si>
    <t xml:space="preserve">FAO ecological zone</t>
  </si>
  <si>
    <t xml:space="preserve">Country </t>
  </si>
  <si>
    <t xml:space="preserve">Continent </t>
  </si>
  <si>
    <t xml:space="preserve">Age of the AFS (years) </t>
  </si>
  <si>
    <t xml:space="preserve">Time span for biomass production (years) </t>
  </si>
  <si>
    <t xml:space="preserve">Tree density in number of trees per hectare </t>
  </si>
  <si>
    <t xml:space="preserve">Density per hectare of other perennials (coffee, cacao…)</t>
  </si>
  <si>
    <t xml:space="preserve">Total tree density</t>
  </si>
  <si>
    <t xml:space="preserve">Number of experiments </t>
  </si>
  <si>
    <t xml:space="preserve">R=BGB/AGB</t>
  </si>
  <si>
    <t xml:space="preserve">BGB(Mg/ha) </t>
  </si>
  <si>
    <t xml:space="preserve">AGB Sequestration rate </t>
  </si>
  <si>
    <t xml:space="preserve">BGB Sequestration rate </t>
  </si>
  <si>
    <t xml:space="preserve">Above ground biomass stock</t>
  </si>
  <si>
    <t xml:space="preserve">Parkland</t>
  </si>
  <si>
    <t xml:space="preserve">Acacia Senegal</t>
  </si>
  <si>
    <t xml:space="preserve">Sudan, El Demokeya forest reserve, El Obeid Agricultural Research Station, Africa  </t>
  </si>
  <si>
    <t xml:space="preserve">The mean annual rainfall: 318mm; Altitude: 560m a.s.l </t>
  </si>
  <si>
    <t xml:space="preserve">g/m2 </t>
  </si>
  <si>
    <t xml:space="preserve">tonnes C/ha (274)</t>
  </si>
  <si>
    <t xml:space="preserve">Abaker, W.E., Berninger, F., Saiz, G., Braojos, V., Starr, M., 2016. Contribution of Acacia senegal to biomass and soil carbon in plantations of varying age in Sudan. For. Ecol. Manage. 368, 71–80.</t>
  </si>
  <si>
    <t xml:space="preserve">Measured (1)</t>
  </si>
  <si>
    <t xml:space="preserve">Tropical</t>
  </si>
  <si>
    <t xml:space="preserve">Tropical_Dry</t>
  </si>
  <si>
    <t xml:space="preserve">Tropical Warm </t>
  </si>
  <si>
    <t xml:space="preserve">Sudan </t>
  </si>
  <si>
    <t xml:space="preserve">Africa </t>
  </si>
  <si>
    <t xml:space="preserve">Sudan, El Hemaira forest</t>
  </si>
  <si>
    <t xml:space="preserve">The mean annual rainfall: 318mm; Altitude: 570m a.s.l </t>
  </si>
  <si>
    <t xml:space="preserve">g/m2</t>
  </si>
  <si>
    <t xml:space="preserve">Silvoarable</t>
  </si>
  <si>
    <t xml:space="preserve">Grillicidia sepium+ Zea mays , rotation period : 7 years </t>
  </si>
  <si>
    <t xml:space="preserve">Nigeria </t>
  </si>
  <si>
    <t xml:space="preserve">Adesina, F.A. et al., 1999. Potential of agroforestry techniques in mitigating CO2 emissions in Nigeria: some preliminary estimates. Global Ecology and Biogeography, 8(2), pp.163–173. </t>
  </si>
  <si>
    <t xml:space="preserve"> </t>
  </si>
  <si>
    <t xml:space="preserve">Modeled (2)</t>
  </si>
  <si>
    <t xml:space="preserve">Tropical_Moist</t>
  </si>
  <si>
    <t xml:space="preserve">Tephrosia grandis+ Zea mays, rotation period :15 years </t>
  </si>
  <si>
    <t xml:space="preserve">Gmelina aborea+ Zea mays,  rotation period : 8 years </t>
  </si>
  <si>
    <t xml:space="preserve">9.066665</t>
  </si>
  <si>
    <t xml:space="preserve">Entandrophragma cylindricum+ Zea mays,  rotation period : 30 years </t>
  </si>
  <si>
    <t xml:space="preserve">Terminalia+ Zea mays,  rotation period : 40 years </t>
  </si>
  <si>
    <t xml:space="preserve">Annual above ground biomass stock</t>
  </si>
  <si>
    <t xml:space="preserve">Intercropping</t>
  </si>
  <si>
    <t xml:space="preserve">Leucaena on previosly degraded land + Maize </t>
  </si>
  <si>
    <t xml:space="preserve">Benin, Niaouli</t>
  </si>
  <si>
    <t xml:space="preserve">Annual rainfall:  1200 mm, The mean annual temperature is 27 °C.</t>
  </si>
  <si>
    <t xml:space="preserve">t dm/ha (230)</t>
  </si>
  <si>
    <t xml:space="preserve">Aihou, K., Sanginga, N., Vanlauwe, B., Lyasse, O., Diels, J., 1999. Alley cropping in the moist savanna of West-Africa: I. Restoration and maintenance of soil fertility on “terre de barre” soils in Bénin Republic. Agrofor. Syst. 42, 213–227.</t>
  </si>
  <si>
    <t xml:space="preserve">2.16</t>
  </si>
  <si>
    <t xml:space="preserve">Benin </t>
  </si>
  <si>
    <t xml:space="preserve">Leucaena on previously non-degraded land  + Maize </t>
  </si>
  <si>
    <t xml:space="preserve">Gliricidia on previosly degraded land  + Maize </t>
  </si>
  <si>
    <t xml:space="preserve">Gliricidia on previously non-degraded land  + Maize </t>
  </si>
  <si>
    <t xml:space="preserve">Senna on previosly degraded land  + Maize </t>
  </si>
  <si>
    <t xml:space="preserve">Senna  on previously non-degraded land + Maize  </t>
  </si>
  <si>
    <t xml:space="preserve">Fallow</t>
  </si>
  <si>
    <t xml:space="preserve">C. grahamiana, 12 months old fallow</t>
  </si>
  <si>
    <t xml:space="preserve">Kenya, Western part </t>
  </si>
  <si>
    <t xml:space="preserve">Albrecht, A. &amp; Kandji, S.T., 2003. Carbon sequestration in tropical agroforestry systems. Agriculture, Ecosystems and Environment, 99(1-3), pp.15–27.</t>
  </si>
  <si>
    <t xml:space="preserve">Compiled (3)</t>
  </si>
  <si>
    <t xml:space="preserve">Kenya</t>
  </si>
  <si>
    <t xml:space="preserve">C. calothyrsus, 12 months old fallow</t>
  </si>
  <si>
    <t xml:space="preserve">Cajanus cajan, 12 months old fallow</t>
  </si>
  <si>
    <t xml:space="preserve">Senna spectabilis, 12 months old fallow</t>
  </si>
  <si>
    <t xml:space="preserve">S. sesban, 12 months old fallow</t>
  </si>
  <si>
    <t xml:space="preserve">T. vogelii, 12 months old fallow</t>
  </si>
  <si>
    <t xml:space="preserve">C. grahamiana, 18 months old fallow</t>
  </si>
  <si>
    <t xml:space="preserve">C. paulina, 18 months old fallow</t>
  </si>
  <si>
    <t xml:space="preserve">T. candida, 18 months old fallow</t>
  </si>
  <si>
    <t xml:space="preserve">C. calothyrsus, 22 months old fallow</t>
  </si>
  <si>
    <t xml:space="preserve">S. sesban, 22 months old fallow</t>
  </si>
  <si>
    <t xml:space="preserve">Grevillia robusta, 22 months old fallow</t>
  </si>
  <si>
    <t xml:space="preserve">Eucalyptus saligna, 22 months old fallow</t>
  </si>
  <si>
    <t xml:space="preserve">Total biomass C stock </t>
  </si>
  <si>
    <t xml:space="preserve">Silvopasture</t>
  </si>
  <si>
    <t xml:space="preserve">Hybrid Larch silvopasture, Age : 24years, Planting density: 200 trees per hectare, Pasture covered by a dense litter layer, Plot are used by sheep for shelter</t>
  </si>
  <si>
    <t xml:space="preserve">Scotland, 56 km southwest of
Aberdeen. A 1100 ha research station named Glensaugh.</t>
  </si>
  <si>
    <t xml:space="preserve">Mean annual temperature: 7.5 C Mean annual rainfall:1130 mm. The soils are freely drained cultivated humus-iron podzols and brown earths with clay contents ranging from 2 to 8%</t>
  </si>
  <si>
    <t xml:space="preserve">Beckert, M.R. et al., 2016. Soil and tree biomass carbon sequestration potential of silvopastoral and woodland-pasture systems in North East Scotland. Agroforestry Systems</t>
  </si>
  <si>
    <t xml:space="preserve">Cool Temperate</t>
  </si>
  <si>
    <t xml:space="preserve">Cool_Temperate</t>
  </si>
  <si>
    <t xml:space="preserve">Temperate Cool</t>
  </si>
  <si>
    <t xml:space="preserve">Scotland</t>
  </si>
  <si>
    <t xml:space="preserve">Europe</t>
  </si>
  <si>
    <t xml:space="preserve">Scots Pine silvopasture, Age: 24years, Planting density: 100 trees per hectare </t>
  </si>
  <si>
    <t xml:space="preserve">Sycamore silvopasture, Age: 24 years, Planting density 400 trees per hectare, Largely depleted of pasture with bare soil prevailing </t>
  </si>
  <si>
    <t xml:space="preserve">Topsoil and subsoils </t>
  </si>
  <si>
    <t xml:space="preserve">Fallow with indigenous and fruit trees: Age: 15 years </t>
  </si>
  <si>
    <t xml:space="preserve">Philippines, Claveria</t>
  </si>
  <si>
    <t xml:space="preserve">300–800 m altitude</t>
  </si>
  <si>
    <t xml:space="preserve">56.7</t>
  </si>
  <si>
    <t xml:space="preserve">Brakas, S.G. &amp; Aune, J.B., 2011. Biomass and Carbon Accumulation in Land Use Systems of Claveria, the Philippines. In Springer Netherlands, pp. 163–175</t>
  </si>
  <si>
    <t xml:space="preserve">Tropical_Wet</t>
  </si>
  <si>
    <t xml:space="preserve">Philippines</t>
  </si>
  <si>
    <t xml:space="preserve">Asia</t>
  </si>
  <si>
    <t xml:space="preserve">Bush fallow, Age: 25 years </t>
  </si>
  <si>
    <t xml:space="preserve">5.4</t>
  </si>
  <si>
    <t xml:space="preserve">Multistrata</t>
  </si>
  <si>
    <t xml:space="preserve">Corn coffee, Age: 30 years </t>
  </si>
  <si>
    <t xml:space="preserve">85.3</t>
  </si>
  <si>
    <t xml:space="preserve">Banana + fruit trees, Age: 4,7 years </t>
  </si>
  <si>
    <t xml:space="preserve">72.9</t>
  </si>
  <si>
    <t xml:space="preserve">Corn + timber/fruit trees, Age:8,3 years  </t>
  </si>
  <si>
    <t xml:space="preserve">53.5</t>
  </si>
  <si>
    <t xml:space="preserve">Woodlot, Age: 10,5 years </t>
  </si>
  <si>
    <t xml:space="preserve">40.6</t>
  </si>
  <si>
    <t xml:space="preserve">Corn + timber trees, Age: 8,3 years </t>
  </si>
  <si>
    <t xml:space="preserve">18.8</t>
  </si>
  <si>
    <t xml:space="preserve">Corn + mango, Age: 6 years </t>
  </si>
  <si>
    <t xml:space="preserve">Coconut + banana, Age: 21,7 years</t>
  </si>
  <si>
    <t xml:space="preserve">11.05</t>
  </si>
  <si>
    <t xml:space="preserve">Banana plantation: Age: 1,5 years</t>
  </si>
  <si>
    <t xml:space="preserve">7.02</t>
  </si>
  <si>
    <t xml:space="preserve">Corn + banana, Age: 1,5 years</t>
  </si>
  <si>
    <t xml:space="preserve">3.9</t>
  </si>
  <si>
    <t xml:space="preserve">Homegarden, Age: 21 years </t>
  </si>
  <si>
    <t xml:space="preserve">159.7</t>
  </si>
  <si>
    <t xml:space="preserve">Multistrata agroforest, Age: 38,8 years</t>
  </si>
  <si>
    <t xml:space="preserve">155.8</t>
  </si>
  <si>
    <t xml:space="preserve">Grassland,Age: 50 years </t>
  </si>
  <si>
    <t xml:space="preserve">2.9</t>
  </si>
  <si>
    <t xml:space="preserve">Piliostigma reticulatum + 0 ferti - 2011</t>
  </si>
  <si>
    <t xml:space="preserve">Senegal, Nioro-du-Rip</t>
  </si>
  <si>
    <t xml:space="preserve">Altitude (masl):18, Mean annual rainfall (mm): 709, Mean annual temperature (°C): 27.3</t>
  </si>
  <si>
    <t xml:space="preserve">Kg DM/ha </t>
  </si>
  <si>
    <t xml:space="preserve">Bright, M.B.H., Diedhiou, I., Bayala, R., Assigbetse, K., Chapuis-Lardy, L., Ndour, Y., Dick, R.P., 2017. Long-term Piliostigma reticulatum intercropping in the Sahel: Crop productivity, carbon sequestration, nutrient cycling, and soil quality. Agric. Ecosyst. Environ. 242, 9–22</t>
  </si>
  <si>
    <t xml:space="preserve">Senegal</t>
  </si>
  <si>
    <t xml:space="preserve">Piliostigma reticulatum + 0.5 ferti - 2011</t>
  </si>
  <si>
    <t xml:space="preserve">Piliostigma reticulatum + 1 ferti - 2011</t>
  </si>
  <si>
    <t xml:space="preserve">Piliostigma reticulatum + 1.5 ferti - 2011</t>
  </si>
  <si>
    <t xml:space="preserve">Piliostigma reticulatum + 0 ferti - 2012</t>
  </si>
  <si>
    <t xml:space="preserve">Piliostigma reticulatum + 0.5 ferti - 2012</t>
  </si>
  <si>
    <t xml:space="preserve">Piliostigma reticulatum + 1 ferti - 2012</t>
  </si>
  <si>
    <t xml:space="preserve">Piliostigma reticulatum + 1.5 ferti - 2012</t>
  </si>
  <si>
    <t xml:space="preserve">Piliostigma reticulatum + 0 ferti - 2013</t>
  </si>
  <si>
    <t xml:space="preserve">Piliostigma reticulatum + 0.5 ferti - 2013</t>
  </si>
  <si>
    <t xml:space="preserve">Piliostigma reticulatum + 1 ferti - 2013</t>
  </si>
  <si>
    <t xml:space="preserve">Piliostigma reticulatum + 1.5 ferti - 2013</t>
  </si>
  <si>
    <t xml:space="preserve">Piliostigma reticulatum + 0 ferti - 2014</t>
  </si>
  <si>
    <t xml:space="preserve">Piliostigma reticulatum + 0.5 ferti - 2014</t>
  </si>
  <si>
    <t xml:space="preserve">Piliostigma reticulatum + 1 ferti - 2014</t>
  </si>
  <si>
    <t xml:space="preserve">Piliostigma reticulatum + 1.5 ferti - 2014</t>
  </si>
  <si>
    <t xml:space="preserve">Piliostigma reticulatum + 0 ferti - 2015</t>
  </si>
  <si>
    <t xml:space="preserve">Piliostigma reticulatum + 0.5 ferti - 2015</t>
  </si>
  <si>
    <t xml:space="preserve">Piliostigma reticulatum + 1 ferti - 2015</t>
  </si>
  <si>
    <t xml:space="preserve">Piliostigma reticulatum + 1.5 ferti - 2015</t>
  </si>
  <si>
    <t xml:space="preserve">Above ground C sequestration rate</t>
  </si>
  <si>
    <t xml:space="preserve">Wild cherry+ryegrass, fescue: Silvopastoral system with regular grazing</t>
  </si>
  <si>
    <t xml:space="preserve">France, Theix (TH)</t>
  </si>
  <si>
    <t xml:space="preserve">Altitude (masl): 829, Mean annual rainfall (mm): 800, Mean annual temperature (°C): 7.7</t>
  </si>
  <si>
    <t xml:space="preserve">tonnes C/ha/yr (355)</t>
  </si>
  <si>
    <t xml:space="preserve">Cardinael, R., Chevallier, T., Cambou, A., Béral, C., Barthès, B.G., Dupraz, C., Durand, C., Kouakoua, E., Chenu, C., 2017. Increased soil organic carbon stocks under agroforestry: A survey of six different sites in France. Agric. Ecosyst. Environ. 236, 243–255</t>
  </si>
  <si>
    <t xml:space="preserve">France</t>
  </si>
  <si>
    <t xml:space="preserve">Hybrid walnut + wheat, rapeseed: Silvorable systems with no grazing  </t>
  </si>
  <si>
    <t xml:space="preserve">France, Châteaudun (CH) </t>
  </si>
  <si>
    <t xml:space="preserve">Altitude (masl):147, Mean annual rainfall (mm): 595, Mean annual temperature (°C): 11.1</t>
  </si>
  <si>
    <t xml:space="preserve">Warm Temperate</t>
  </si>
  <si>
    <t xml:space="preserve">Warm_Temperate</t>
  </si>
  <si>
    <t xml:space="preserve">Hybrid walnut + wheat, rapeseed,sunflowe: Silvorable systems with no grazing </t>
  </si>
  <si>
    <t xml:space="preserve">France, Melle (ME)</t>
  </si>
  <si>
    <t xml:space="preserve">Altitude (masl): 107, Mean annual rainfall (mm): 810, Mean annual temperature (°C): 11.7</t>
  </si>
  <si>
    <t xml:space="preserve">Black walnut+sunflower, wheat, barley: Silvorable systems with no grazing</t>
  </si>
  <si>
    <t xml:space="preserve">France, Saint-Jean d’Angely (SJ)</t>
  </si>
  <si>
    <t xml:space="preserve">Altitude (masl): 152, Mean annual rainfall (mm): 850, Mean annual temperature (°C): 12.9</t>
  </si>
  <si>
    <t xml:space="preserve">Hybrid walnut+durum wheat, rapeseed, chickpea: Silvorable systems with no grazing</t>
  </si>
  <si>
    <t xml:space="preserve">France, Restinclières(RE)</t>
  </si>
  <si>
    <t xml:space="preserve">Altitude (masl): 54, Mean annual rainfall (mm): 873, Mean annual temperature (°C): 15.4</t>
  </si>
  <si>
    <t xml:space="preserve">Hybrid walnut+rapeseed, wheat, potato, garlic: Silvorable systems with no grazing</t>
  </si>
  <si>
    <t xml:space="preserve">France, Vézénobres (VE)</t>
  </si>
  <si>
    <t xml:space="preserve">Altitude (masl): 102, Mean annual rainfall (mm): 1037, Mean annual temperature (°C): 14.5</t>
  </si>
  <si>
    <t xml:space="preserve">Populus spp+ Wheat </t>
  </si>
  <si>
    <t xml:space="preserve">India, Balachaur, SBS Najar, Punjab</t>
  </si>
  <si>
    <t xml:space="preserve">Mean annual rainfall (mm): 726, Mean annual temperature (°C): 24.3</t>
  </si>
  <si>
    <t xml:space="preserve">Chauhan, S.K., Sharma, S.C., Chauhan, R., Ritu, N.G., 2010. Accounting poplar and wheat productivity for carbon sequestration in agri-silvicultural system. Indian For. 136, 1174–1182.</t>
  </si>
  <si>
    <t xml:space="preserve">India</t>
  </si>
  <si>
    <t xml:space="preserve">Annual total biomass stock</t>
  </si>
  <si>
    <t xml:space="preserve">Leucaena leucocephala+ Maize, Cowpea -NPK</t>
  </si>
  <si>
    <t xml:space="preserve">Nigeria Experimental farm of the International Institute of Tropical Agriculture (IITA) in Ibadan</t>
  </si>
  <si>
    <t xml:space="preserve">Mean annual rainfall (mm):1278, Mean annual temperature (°C): 26.2</t>
  </si>
  <si>
    <t xml:space="preserve">t dm/ha/yr</t>
  </si>
  <si>
    <t xml:space="preserve">Diels, J., Vanlauwe, B., Van Der Meersch, M.K., Sanginga, N., Merckx, R., 2004. Long-term soil organic carbon dynamics in a subhumid tropical climate: 13C data in mixed C3/C4 cropping and modeling with ROTHC. Soil Biol. Biochem. 36, 1739–1750.</t>
  </si>
  <si>
    <t xml:space="preserve">Leucaena leucocephala+ Maize, Cowpea +NPK </t>
  </si>
  <si>
    <t xml:space="preserve">Senna siamea + Maize, Cowpea, -NPK</t>
  </si>
  <si>
    <t xml:space="preserve">Senna siamea+Maize, Cowpea+NPK</t>
  </si>
  <si>
    <t xml:space="preserve">Pinus ponderosa+ Dactylis glomerata, Holcus lanatus, Poa pratensis, Trifolium pratense, T. repens, Acaena magellanica, A. pinnatifida, Hypochoeris radicata, Taraxacum officinale</t>
  </si>
  <si>
    <t xml:space="preserve">Chile, San Gabriel Agroforestry Unit</t>
  </si>
  <si>
    <t xml:space="preserve">Altitude (masl):730, Mean annual rainfall (mm): 1250, Mean annual temperature (°C): 5</t>
  </si>
  <si>
    <t xml:space="preserve">Dube, F., Espinosa, M., Stolpe, N.B., Zagal, E., Thevathasan, N. V., Gordon, A.M., 2012. Productivity and carbon storage in silvopastoral systems with Pinus ponderosa and Trifolium spp., plantations and pasture on an Andisol in Patagonia, Chile. Agrofor. Syst. 86, 113–128.</t>
  </si>
  <si>
    <t xml:space="preserve">Chile</t>
  </si>
  <si>
    <t xml:space="preserve">South_America </t>
  </si>
  <si>
    <t xml:space="preserve">Shaded_perennial </t>
  </si>
  <si>
    <t xml:space="preserve">Coffea arabica+ Inga spp </t>
  </si>
  <si>
    <t xml:space="preserve">Peru, Rica district, Pasco region</t>
  </si>
  <si>
    <t xml:space="preserve">Altitude (masl):1550, Mean annual rainfall (mm): 1590, Mean annual temperature (°C): 17.8</t>
  </si>
  <si>
    <t xml:space="preserve">Ehrenbergerova, L., Cienciala, E., Kucera, A., Guy, L., Habrova, H., 2016. Carbon stock in agroforestry coffee plantations with different shade trees in Villa Rica, Peru. Agrofor. Syst. 90, 433–445.</t>
  </si>
  <si>
    <t xml:space="preserve">Tropics cool</t>
  </si>
  <si>
    <t xml:space="preserve">Peru </t>
  </si>
  <si>
    <t xml:space="preserve">Coffea arabica+ Pinus spp.</t>
  </si>
  <si>
    <t xml:space="preserve">Altitude (masl):1540, Mean annual rainfall (mm): 1590, Mean annual temperature (°C): 17.8</t>
  </si>
  <si>
    <t xml:space="preserve">Coffea arabica+ Eucalyptusspp.</t>
  </si>
  <si>
    <t xml:space="preserve">Altitude (masl): 1660, Mean annual rainfall (mm): 1590, Mean annual temperature (°C): 17.8</t>
  </si>
  <si>
    <t xml:space="preserve">Pinus radiata D. Don+Dactylis glomerata L. var., Trifolium pratense L. var. (Pasture grasses and silvopasture understory were harvested and removed mechanically twice a year)</t>
  </si>
  <si>
    <t xml:space="preserve">Spain, Castro Riberas de Lea</t>
  </si>
  <si>
    <t xml:space="preserve">Altitude (masl):439, Mean annual rainfall (mm):1300, Mean annual temperature (°C):12.2</t>
  </si>
  <si>
    <t xml:space="preserve">Fernández-Núñez, E., Rigueiro-Rodríguez, A., Mosquera-Losada, M.R., 2010. Carbon allocation dynamics one decade after afforestation with Pinus radiata D. Don and Betula alba L. under two stand densities in NW Spain. Ecol. Eng. 36, 876–890. </t>
  </si>
  <si>
    <t xml:space="preserve">Spain</t>
  </si>
  <si>
    <t xml:space="preserve">Pinus radiata D. Don+Dactylis glomerata L. var., Trifolium pratense L. var.(Pasture grasses and silvopasture understory were harvested and removed mechanically twice a year)</t>
  </si>
  <si>
    <t xml:space="preserve">Betula alba L.+Dactylis glomerata L. var., Trifolium pratense L. var.Pasture grasses and silvopasture understory were harvested and removed mechanically twice a year</t>
  </si>
  <si>
    <t xml:space="preserve">Betula alba L.+Dactylis glomerata L. var., Trifolium pratense L. var.(Pasture grasses and silvopasture understory were harvested and removed mechanically twice a year)</t>
  </si>
  <si>
    <t xml:space="preserve">Leucaena diversifolia</t>
  </si>
  <si>
    <t xml:space="preserve">Haiti, Low elevation calcareous site</t>
  </si>
  <si>
    <t xml:space="preserve">Altitude (masl):70, Mean annual rainfall (mm): 1800, Mean annual temperature (°C): 26.5</t>
  </si>
  <si>
    <t xml:space="preserve">t dm/ha</t>
  </si>
  <si>
    <t xml:space="preserve">Isaac, L; Wood, CW; Shannon, DA. 2003. Hedgerow species and environmental conditions effects on soil total C and N and C and N mineralization patterns of soils amended with their prunings. Nutrient Cycling in Agroecosystems 65 (1) : 73-87</t>
  </si>
  <si>
    <t xml:space="preserve">Haiti</t>
  </si>
  <si>
    <t xml:space="preserve">Central_America</t>
  </si>
  <si>
    <t xml:space="preserve">Leucaena leucocephala</t>
  </si>
  <si>
    <t xml:space="preserve">Leucaena hybrid</t>
  </si>
  <si>
    <t xml:space="preserve">Gliricidia sepium</t>
  </si>
  <si>
    <t xml:space="preserve">Delonix regia</t>
  </si>
  <si>
    <t xml:space="preserve">Haiti, Low elevation basaltic site</t>
  </si>
  <si>
    <t xml:space="preserve">Altitude (masl): 80, Mean annual rainfall (mm): 1600, Mean annual temperature (°C): 26</t>
  </si>
  <si>
    <t xml:space="preserve">Haiti, High elevation</t>
  </si>
  <si>
    <t xml:space="preserve">Altitude (masl): 1150, Mean annual rainfall (mm): 1200, Mean annual temperature (°C): 22</t>
  </si>
  <si>
    <t xml:space="preserve">Acacia angustissima</t>
  </si>
  <si>
    <t xml:space="preserve"> Flemingia macrophylla</t>
  </si>
  <si>
    <t xml:space="preserve">Cocoa canopy+ upper story canopy </t>
  </si>
  <si>
    <t xml:space="preserve">Ghana, Sefwi Wiawso Region</t>
  </si>
  <si>
    <t xml:space="preserve">Annual precipitation: 1054.5 mm, average temperature of 26.1° C</t>
  </si>
  <si>
    <t xml:space="preserve">Isaac, M.E., Gordon, A.M., Thevathasan, N., Oppong, S.K., Quashie-Sam, J., 2005. Temporal changes in soil carbon and nitrogen in west African multistrata agroforestry systems: A chronosequence of pools and fluxes. Agrofor. Syst. 65, 23–31.</t>
  </si>
  <si>
    <t xml:space="preserve">-2.48</t>
  </si>
  <si>
    <t xml:space="preserve">Ghana</t>
  </si>
  <si>
    <t xml:space="preserve">Alley cropping with gliricia </t>
  </si>
  <si>
    <t xml:space="preserve">Nigeria, Southwestern</t>
  </si>
  <si>
    <t xml:space="preserve">Kang, B.T., 1997. Alley cropping-soil productivity and nutrient recycling ’. ology Management Forest Ecology and Management, 91, pp.75–82.</t>
  </si>
  <si>
    <t xml:space="preserve">7.76</t>
  </si>
  <si>
    <t xml:space="preserve">4.66</t>
  </si>
  <si>
    <t xml:space="preserve">Alley cropped with Leucaena</t>
  </si>
  <si>
    <t xml:space="preserve">A. angustissima (Coppicing fallow) - Msekera</t>
  </si>
  <si>
    <t xml:space="preserve">Zambia, Eastern </t>
  </si>
  <si>
    <t xml:space="preserve">Altitudes of 1,000–1,100 m, mean annual temperature of 23°C, 
Soils area yellowish-red to yellowish-brown loamy sandy
or sandy soils-Acrisols</t>
  </si>
  <si>
    <t xml:space="preserve">Kaonga, M.L. &amp; Bayliss-Smith, T.P., 2009. Carbon pools in tree biomass and the soil in Fallows in eastern Zambia. Agroforestry Systems, 76(1), pp.37–51</t>
  </si>
  <si>
    <t xml:space="preserve">Tropical_Montane</t>
  </si>
  <si>
    <t xml:space="preserve">Subtropics warm </t>
  </si>
  <si>
    <t xml:space="preserve">Zambia</t>
  </si>
  <si>
    <t xml:space="preserve">C. callothyrsus (Coppicing fallow) - Msekera</t>
  </si>
  <si>
    <t xml:space="preserve">G. sepium (Coppicing fallow) - Msekera</t>
  </si>
  <si>
    <t xml:space="preserve">L. collinsii (Coppicing fallow) - Msekera</t>
  </si>
  <si>
    <t xml:space="preserve">L. diversifolia 35/88 (Coppicing fallow) - Msekera</t>
  </si>
  <si>
    <t xml:space="preserve">L. esculenta Machakos (Coppicing fallow) - Msekera</t>
  </si>
  <si>
    <t xml:space="preserve">L. pallida (Coppicing fallow) - Msekera</t>
  </si>
  <si>
    <t xml:space="preserve">S. siamea (Coppicing fallow) - Msekera</t>
  </si>
  <si>
    <t xml:space="preserve">A. angustissima (Coppicing fallow) - Kalunga</t>
  </si>
  <si>
    <t xml:space="preserve">C. calliandra (Coppicing fallow) - Kalunga</t>
  </si>
  <si>
    <t xml:space="preserve">G. sepium (Coppicing fallow) - Kalunga</t>
  </si>
  <si>
    <t xml:space="preserve">L. collinsii (Coppicing fallow) - Kalunga</t>
  </si>
  <si>
    <t xml:space="preserve">L. diversifolia 35/88 (Coppicing fallow) - Kalunga</t>
  </si>
  <si>
    <t xml:space="preserve">L. esculenta Machakos (Coppicing fallow) - Kalunga</t>
  </si>
  <si>
    <t xml:space="preserve">L. pallida (Coppicing fallow) - Kalunga</t>
  </si>
  <si>
    <t xml:space="preserve">S. siamea (Coppicing fallow) - Kalunga</t>
  </si>
  <si>
    <t xml:space="preserve">S. sesbania (Non Coppicing fallow) - Kalunga</t>
  </si>
  <si>
    <t xml:space="preserve">T. candida (Non Coppicing fallow) - Kalunga</t>
  </si>
  <si>
    <t xml:space="preserve">T. candida 02970 (Non Coppicing fallow) - Kalunga</t>
  </si>
  <si>
    <t xml:space="preserve">T. candida 02972 (Non Coppicing fallow) - Kalunga</t>
  </si>
  <si>
    <t xml:space="preserve">T. vogelli Chambeshi (Non Coppicing fallow) - Kalunga</t>
  </si>
  <si>
    <t xml:space="preserve">T. vogelli Misamfu (Non Coppicing fallow) - Kalunga</t>
  </si>
  <si>
    <t xml:space="preserve">Acacia +Desmostachya systems</t>
  </si>
  <si>
    <t xml:space="preserve">India north, Kurukshetra, Bichian, Saraswati Reserved Forest</t>
  </si>
  <si>
    <t xml:space="preserve">Mean annual rainfall : 600mm </t>
  </si>
  <si>
    <t xml:space="preserve">Kaur, B., Gupta, S.R. &amp; Singh, G., 2002. Carbon storage and nitrogen cycling in silvopastoral systems on a sodic soil in northwestern India. Agroforestry Systems, 54(1), pp.21–29.</t>
  </si>
  <si>
    <t xml:space="preserve">Dalbergia +Desmostachya systems</t>
  </si>
  <si>
    <t xml:space="preserve">Dalbergia +Sporobolus systems</t>
  </si>
  <si>
    <t xml:space="preserve">Prosopis+ Desmostachyas systems</t>
  </si>
  <si>
    <t xml:space="preserve">Prosopis+Sporobolus systems</t>
  </si>
  <si>
    <t xml:space="preserve">Acacia auriculiformis, 5 year-old rotational </t>
  </si>
  <si>
    <t xml:space="preserve">Tanzania, Mkundi village , Morogoro. </t>
  </si>
  <si>
    <t xml:space="preserve">475 m a.s.l, mean annual precipitation: 800 mm, temperature: 24°C , The soils are classified as Regosol (FAO Classification System) or Entisol (USDA system)</t>
  </si>
  <si>
    <t xml:space="preserve">Kimaro AA, Isaac ME, Chamshama SAO (2011) Carbon pools in tree biomass and soils under rotational woodlot systems in eastern Tanzania. In: Kumar BM, Nair PKR (eds) Carbon sequestration potential of agroforestry systems: opportunities and challenges. Springer, Dordrecht, pp 129–143</t>
  </si>
  <si>
    <t xml:space="preserve">Tanzania</t>
  </si>
  <si>
    <t xml:space="preserve">Acacia crassicarpa, 5 year-old rotational</t>
  </si>
  <si>
    <t xml:space="preserve">475 m a.s.l, mean annual precipitation: 800 mm, temperature: 24° C, The soils are classified as Regosol (FAO Classification System) or Entisol (USDA system)</t>
  </si>
  <si>
    <t xml:space="preserve">Acacia julifera,  5 year-old rotational </t>
  </si>
  <si>
    <t xml:space="preserve">476 m a.s.l, mean annual precipitation: 800 mm, temperature: 24°C , The soils are classified as Regosol (FAO Classification System) or Entisol (USDA system)</t>
  </si>
  <si>
    <t xml:space="preserve">Acacia leptocarpa, 5 year-old rotational </t>
  </si>
  <si>
    <t xml:space="preserve">476 m a.s.l, mean annual precipitation: 800 mm, temperature: 24° C, The soils are classified as Regosol (FAO Classification System) or Entisol (USDA system)</t>
  </si>
  <si>
    <t xml:space="preserve">Acacia mangium, 5 year-old rotational</t>
  </si>
  <si>
    <t xml:space="preserve">477 m a.s.l, mean annual precipitation: 800 mm, temperature: 24°C , The soils are classified as Regosol (FAO Classification System) or Entisol (USDA system)</t>
  </si>
  <si>
    <t xml:space="preserve">Acacia nilotica, 5 year-old rotational </t>
  </si>
  <si>
    <t xml:space="preserve">477 m a.s.l, mean annual precipitation: 800 mm, temperature: 24° C, The soils are classified as Regosol (FAO Classification System) or Entisol (USDA system)</t>
  </si>
  <si>
    <t xml:space="preserve">Acacia polyacantha, 5 year-old rotational </t>
  </si>
  <si>
    <t xml:space="preserve">478 m a.s.l, mean annual precipitation: 800 mm, temperature: 24°C , The soils are classified as Regosol (FAO Classification System) or Entisol (USDA system)</t>
  </si>
  <si>
    <t xml:space="preserve">Gliricidia sepium,  5 year-old rotational </t>
  </si>
  <si>
    <t xml:space="preserve">478 m a.s.l, mean annual precipitation: 800 mm, temperature: 24° C, The soils are classified as Regosol (FAO Classification System) or Entisol (USDA system)</t>
  </si>
  <si>
    <t xml:space="preserve">Leucaena diversifolia,  5 year-old rotational </t>
  </si>
  <si>
    <t xml:space="preserve">479 m a.s.l, mean annual precipitation: 800 mm, temperature: 24°C , The soils are classified as Regosol (FAO Classification System) or Entisol (USDA system)</t>
  </si>
  <si>
    <t xml:space="preserve">Trees + palms (&gt;10 cm DBH) in traditional agroforesty systems, Age: 23,2 years</t>
  </si>
  <si>
    <t xml:space="preserve">Panama, Tierra colectiva (TC) of Ipetı´-Embera´</t>
  </si>
  <si>
    <t xml:space="preserve">The mean annual T:26° C, and mean annual rainfall: 2500, Soils waried from  inceptisols to vertisols were clay rich with  pH of 6.4 </t>
  </si>
  <si>
    <t xml:space="preserve">Kirby, K.R. &amp; Potvin, C., 2007. Variation in carbon storage among tree species: Implications for the management of a small-scale carbon sink project. Forest Ecology and Management, 246(2–3), pp.208–221.</t>
  </si>
  <si>
    <t xml:space="preserve">Panama</t>
  </si>
  <si>
    <t xml:space="preserve">Hedgerow</t>
  </si>
  <si>
    <t xml:space="preserve">Green ash Shelterbelt, Age: 53</t>
  </si>
  <si>
    <t xml:space="preserve">Canada, Saskatchewan</t>
  </si>
  <si>
    <t xml:space="preserve">Mean shelterbelt height (m): 8 , Mean shelterbelt width (m): 3.8, Diameter at breast height (cm): 23.1 </t>
  </si>
  <si>
    <t xml:space="preserve">Kg/tree </t>
  </si>
  <si>
    <t xml:space="preserve">Kort, J. &amp; Turnock, R., 1999. Carbon reservoir and biomass in Canadian prairie shelterbelts. Agroforestry Systems, 44, pp.175–186.</t>
  </si>
  <si>
    <t xml:space="preserve">Canada</t>
  </si>
  <si>
    <t xml:space="preserve">North_America</t>
  </si>
  <si>
    <t xml:space="preserve">Manitoba maple Shelterbelt, Age:52</t>
  </si>
  <si>
    <t xml:space="preserve">Mean shelterbelt height (m): 7.3 , Mean shelterbelt width (m): 4.5, Diameter at breast height (cm): 39.6 </t>
  </si>
  <si>
    <t xml:space="preserve">Hybrid poplar Shelterbelt, Age:33</t>
  </si>
  <si>
    <t xml:space="preserve">Mean shelterbelt height (m):13.8 , Mean shelterbelt width (m): 5.2, Diameter at breast height (cm): 44.2 </t>
  </si>
  <si>
    <t xml:space="preserve">Siberian elm Shelterbelt, Age: 37</t>
  </si>
  <si>
    <t xml:space="preserve">Mean shelterbelt height (m): 7 , Mean shelterbelt width (m): 4.9, Diameter at breast height (cm): 28.6</t>
  </si>
  <si>
    <t xml:space="preserve">White spruce  Shelterbelt, Age:54</t>
  </si>
  <si>
    <t xml:space="preserve">Mean shelterbelt height (m): 14.1 , Mean shelterbelt width (m): 8, Diameter at breast height (cm): 24.4 </t>
  </si>
  <si>
    <t xml:space="preserve">Scots pine Shelterbelt, Age: 66</t>
  </si>
  <si>
    <t xml:space="preserve">Mean shelterbelt height (m): 12.1 , Mean shelterbelt width (m): 5.1, Diameter at breast height (cm): 23.8</t>
  </si>
  <si>
    <t xml:space="preserve">Colorado spruce Shelterbelt, Age: 43</t>
  </si>
  <si>
    <t xml:space="preserve">Mean shelterbelt height (m):11.5, Mean shelterbelt width (m): 5.6, Diameter at breast height (cm): 23.0 </t>
  </si>
  <si>
    <t xml:space="preserve">Choke cherry Shelterbelt, Age: 33</t>
  </si>
  <si>
    <t xml:space="preserve">Mean shelterbelt height (m):5.3, Mean shelterbelt width (m): 3.9 </t>
  </si>
  <si>
    <t xml:space="preserve">Villosa lilac Shelterbelt, Age:23</t>
  </si>
  <si>
    <t xml:space="preserve">Mean shelterbelt height (m): 3.6, Mean shelterbelt width (m): 3.1</t>
  </si>
  <si>
    <t xml:space="preserve">Buffaloberry Shelterbelt, Age:20</t>
  </si>
  <si>
    <t xml:space="preserve">Mean shelterbelt height (m): 4.3, Mean shelterbelt width (m): 4.3</t>
  </si>
  <si>
    <t xml:space="preserve">Caragana Shelterbelt, Age:49</t>
  </si>
  <si>
    <t xml:space="preserve">Mean shelterbelt height (m): 4.2, Mean shelterbelt width (m): 5.1</t>
  </si>
  <si>
    <t xml:space="preserve">Sea buckthorn Shelterbelt, Age:25</t>
  </si>
  <si>
    <t xml:space="preserve">Mean shelterbelt height (m): 3.4 Mean shelterbelt width (m): 2.7</t>
  </si>
  <si>
    <t xml:space="preserve">Acacia auriculiformis - Woodlots, Age : 8.8years</t>
  </si>
  <si>
    <t xml:space="preserve">India, Kerala</t>
  </si>
  <si>
    <t xml:space="preserve">Kumar, B. M., George, S. J., Jamaludheen, V., Suresh, T. K. (1998a): Comparison of biomass production, tree allometry and nutrient use efficiency of multipurpose trees grown in wood lot and silvopastoral experiments in Kerala, India. For. Ecol. Manage. 112, 145–163.</t>
  </si>
  <si>
    <t xml:space="preserve">Ailanthus triphysa - Woodlots, Age : 8.8years</t>
  </si>
  <si>
    <t xml:space="preserve">Artocarpus heterophyllus - Woodlots, Age : 8.8years</t>
  </si>
  <si>
    <t xml:space="preserve">Artocarpus hirsutus - Woodlots, Age : 8.8years</t>
  </si>
  <si>
    <t xml:space="preserve">Casuarina equisetifolia - Woodlots, Age : 8.8years</t>
  </si>
  <si>
    <t xml:space="preserve">Emblica officinalis - Woodlots, Age : 8.8years</t>
  </si>
  <si>
    <t xml:space="preserve">Leucaena leucocephala - Woodlots, Age : 8.8years</t>
  </si>
  <si>
    <t xml:space="preserve">Paraserianthes falcataria - Woodlots, Age : 8.8years</t>
  </si>
  <si>
    <t xml:space="preserve">Pterocarpus marsupium - Woodlots, Age : 8.8years</t>
  </si>
  <si>
    <t xml:space="preserve">Acacia auriculiformis - Silvopastoralism Age: 7 </t>
  </si>
  <si>
    <t xml:space="preserve">Ailanthus triphysa - Silvopastoralism Age: 7 </t>
  </si>
  <si>
    <t xml:space="preserve">Casuarina equisetifolia - Silvopastoralism Age: 7 </t>
  </si>
  <si>
    <t xml:space="preserve">Leucaena leucocephala - Silvopastoralism Age: 7 </t>
  </si>
  <si>
    <t xml:space="preserve">Acacia auriculiformis - Silvopastoralism Age: 5</t>
  </si>
  <si>
    <t xml:space="preserve">Ailanthus triphysa - Silvopastoralism Age: 5</t>
  </si>
  <si>
    <t xml:space="preserve">Casuarina equisetifolia - Silvopastoralism Age: 5</t>
  </si>
  <si>
    <t xml:space="preserve">Leucaena leucocephala - Silvopastoralism Age: 5</t>
  </si>
  <si>
    <t xml:space="preserve">Philippines, Village of Naalad</t>
  </si>
  <si>
    <t xml:space="preserve">Altitude (masl): 300, Mean annual rainfall (mm): 1600-2000</t>
  </si>
  <si>
    <t xml:space="preserve">Lasco, R.D., Suson, P.D., 1999. A Leucaena leucocephala-based indigenous fallow system in central Philippines: the Naalad system. Int. Tree Crop. J. 10, 161–174.</t>
  </si>
  <si>
    <t xml:space="preserve">Albizzia lebbek</t>
  </si>
  <si>
    <t xml:space="preserve">India, Banswara</t>
  </si>
  <si>
    <t xml:space="preserve">Altitude:1200 m above mean sea level,Monthly minimum T°: 6–21 °C, maximum  18–35 °C, The average annual rainfall is 1700 mm.</t>
  </si>
  <si>
    <t xml:space="preserve">Maikhuri, R.K., Semwal, R.L., Rao, K.S., Singh, K., Saxena, K.G., 2000. Growth and ecological impacts of traditional agroforestry tree species in Central Himalaya, India. Agrofor. Syst. 48, 257–272.</t>
  </si>
  <si>
    <t xml:space="preserve">79.08</t>
  </si>
  <si>
    <t xml:space="preserve">Alnus nepalensis</t>
  </si>
  <si>
    <t xml:space="preserve">Boehmeria rugulosa</t>
  </si>
  <si>
    <t xml:space="preserve">Celtis australis</t>
  </si>
  <si>
    <t xml:space="preserve">Dalbergia sissoo</t>
  </si>
  <si>
    <t xml:space="preserve">Ficus glomerata</t>
  </si>
  <si>
    <t xml:space="preserve">Grewia optiva</t>
  </si>
  <si>
    <t xml:space="preserve">Prunus cerasoides</t>
  </si>
  <si>
    <t xml:space="preserve">Pyrus pashia</t>
  </si>
  <si>
    <t xml:space="preserve">Sapium sebiferum</t>
  </si>
  <si>
    <t xml:space="preserve">Gliricidia prunings+maize ( Trial 1) </t>
  </si>
  <si>
    <t xml:space="preserve"> Malawi, Zomba </t>
  </si>
  <si>
    <t xml:space="preserve">Altitude of 1029 m a.s.l.), The total rainfall 560- 1600 mm, The temperature varied between 16- 32°C</t>
  </si>
  <si>
    <t xml:space="preserve">Makumba, W., Akinnifesi, F.K., Janssen, B., Oenema, O., 2007. Long-term impact of a gliricidia-maize intercropping system on carbon sequestration in southern Malawi. Agric. Ecosyst. Environ. 118, 237–243.</t>
  </si>
  <si>
    <t xml:space="preserve">35.25</t>
  </si>
  <si>
    <t xml:space="preserve">Malawi </t>
  </si>
  <si>
    <t xml:space="preserve">Acacia tortilis+ Cenchrus ciliaris</t>
  </si>
  <si>
    <t xml:space="preserve">India, Central Arid Zone Research Institute, Regional Research Station, Kukma–Bhuj</t>
  </si>
  <si>
    <t xml:space="preserve">Mean annual rainfall (mm):397, Mean annual temperature (°C): 26.3</t>
  </si>
  <si>
    <t xml:space="preserve">Mangalassery, S., Dayal, D., Meena, S.L., Ram, B., 2014. Carbon sequestration in agroforestry and pasture systems in arid northwestern India. Curr. Sci. 107, 1290–1293.</t>
  </si>
  <si>
    <t xml:space="preserve">Azadirachta indica+ Cenchrus ciliaris</t>
  </si>
  <si>
    <t xml:space="preserve">Acacia tortilis+Cenchrus setegerus</t>
  </si>
  <si>
    <t xml:space="preserve">Azadirachta indica+Cenchrus setegerus</t>
  </si>
  <si>
    <t xml:space="preserve">Populus euramericana+Sorghum bicolor, Setaria italica, Zea maysin sandy loamy  </t>
  </si>
  <si>
    <t xml:space="preserve">China, Jianping County</t>
  </si>
  <si>
    <t xml:space="preserve">Mean annual rainfall (mm):467, Mean annual temperature (°C): 6.5</t>
  </si>
  <si>
    <t xml:space="preserve">Mao, R., Zeng, D., Li, L., Hu, Y., 2012. Changes in labile soil organic matter fractions following land use change from monocropping to poplar-based agroforestry systems in a semiarid region of Northeast China. Environ. Monit. Assess. 184, 6845–6853. </t>
  </si>
  <si>
    <t xml:space="preserve">China</t>
  </si>
  <si>
    <t xml:space="preserve">Populus euramericana+Sorghum bicolor, Setaria italica, Zea maysin Sandy clay loam</t>
  </si>
  <si>
    <t xml:space="preserve">Leucaena +Maize wide spacing (25 cm x 375 cm) </t>
  </si>
  <si>
    <t xml:space="preserve">India north, Chandigarh, Central Soil and Water Conservation Research and Training Institute Research Centre</t>
  </si>
  <si>
    <t xml:space="preserve">Mean annual rainfall(mm): 1116</t>
  </si>
  <si>
    <t xml:space="preserve">Mittal, S.P. &amp; Singh, P., 1989. Intercropping field crops between rows of Leucaena leucocephala under rainfed conditions in northern India. Agroforestry Systems, 8(2), pp.165–172.</t>
  </si>
  <si>
    <t xml:space="preserve">30.71</t>
  </si>
  <si>
    <t xml:space="preserve">76.85</t>
  </si>
  <si>
    <t xml:space="preserve">Leucaena +Black gram wide spacing (25 cm x 375 cm) </t>
  </si>
  <si>
    <t xml:space="preserve">Mean annual rainfall(mm): 1117</t>
  </si>
  <si>
    <t xml:space="preserve">Leucaena +Cluster bean wide spacing (25 cm x 375 cm) </t>
  </si>
  <si>
    <t xml:space="preserve">Mean annual rainfall(mm): 1118</t>
  </si>
  <si>
    <t xml:space="preserve">Ensete ventricosum + tree ( upper-story tree species include Erythrina spp,, Millettia ferruginea, Bak and Polyscias ferruginea, Polyscias fuluva and the lower layer is occupied by enset while ground cover is dominated by root and herbaceous plants, including Disocoria alata and Capsicum spp)</t>
  </si>
  <si>
    <t xml:space="preserve">Ethiopia, Gedeo zone</t>
  </si>
  <si>
    <t xml:space="preserve">Negash, M. &amp; Kanninen, M., 2015. Modeling biomass and soil carbon sequestration of indigenous agroforestry systems using CO2FIX approach. Agriculture, Ecosystems and Environment, 203, pp.147–155. </t>
  </si>
  <si>
    <t xml:space="preserve">Ethiopia </t>
  </si>
  <si>
    <t xml:space="preserve">Enset+coffee+tree ( shaded by Erythrina spp,, Millettia ferruginea and Cordia africana, the ground cover consists of herbaceous crops, including Disocoria alata L,, Colocasia esculenta (L,) Schott and Musa spp)</t>
  </si>
  <si>
    <t xml:space="preserve">Tree+ coffee systems + native trees (e,g,, Cordia africana Lam,, Millettia ferruginea,Ficus spp,) and fruit trees (mainly Persea americana Mill, Mangifera indica L,) Casimioraedulis Lal lave, and Lex, occupy the upper layer while coffee plants are placed at the lower layer (Negash, 2007), The ground cover consists of herbaceous crops, including Zea mays L,, Musa spp,, Brassica oleracea L, and Ipomoea batatas (L,) Lam,) </t>
  </si>
  <si>
    <t xml:space="preserve">Cacao AFS+30 species, including Terminalia superba and Ceiba pentandra</t>
  </si>
  <si>
    <t xml:space="preserve">Cameroon, Zoatoupsie, south of Mbalmayo</t>
  </si>
  <si>
    <t xml:space="preserve">Altitude (masl):540, Mean annual rainfall (mm): 2826, Mean annual temperature (°C): 26.4</t>
  </si>
  <si>
    <t xml:space="preserve">Norgrove, L., Hauser, S., 2013. Carbon stocks in shaded Theobroma cacao farms and adjacent secondary forests of similar age in Cameroon. Trop. Ecol. 54, 15–22.</t>
  </si>
  <si>
    <t xml:space="preserve">Cameroon</t>
  </si>
  <si>
    <t xml:space="preserve">Acacia crassicarpa  +Maize </t>
  </si>
  <si>
    <t xml:space="preserve">Tanzania, Tabora </t>
  </si>
  <si>
    <t xml:space="preserve">Mean annual rainfall(mm): 928 mm, Temperature:  13.6 ◦C in June/July to a mean 32.5 ◦C</t>
  </si>
  <si>
    <t xml:space="preserve">Nyadzi.G.I, R.M. Otsyina, F.M. Banzi, S.S.Bakengesa, B.M. Gama, L.M., 2003. Rotational woodlot technology in northwestern Tanzania . Tree species and crop performance COMMUNITIES ’ PERCEPTION ON THE IMPACT OF ILLEGAL TREE HARVESTING IN NORTH EASTERN AND. , (NOVEMBER), pp.253–263.</t>
  </si>
  <si>
    <t xml:space="preserve">-3.6799</t>
  </si>
  <si>
    <t xml:space="preserve">33.4196</t>
  </si>
  <si>
    <t xml:space="preserve">A. julifera + Maize </t>
  </si>
  <si>
    <t xml:space="preserve">A. leptocarpa  + Maize </t>
  </si>
  <si>
    <t xml:space="preserve">Senna siamea + Maize </t>
  </si>
  <si>
    <t xml:space="preserve">Leucaena pallida + Maize </t>
  </si>
  <si>
    <t xml:space="preserve">Acacia nilotica </t>
  </si>
  <si>
    <t xml:space="preserve">Tanzania, Shinyanga </t>
  </si>
  <si>
    <t xml:space="preserve">Mean annual rainfall(mm):700 mm, Temperature:  27.6 ◦C and 30.2 ◦C</t>
  </si>
  <si>
    <t xml:space="preserve">-5.0450</t>
  </si>
  <si>
    <t xml:space="preserve">32.8181</t>
  </si>
  <si>
    <t xml:space="preserve">Acacia polyacantha  </t>
  </si>
  <si>
    <t xml:space="preserve">Leuceana leucocephala</t>
  </si>
  <si>
    <t xml:space="preserve">Erythrina poeppigiana, 19 years, +N</t>
  </si>
  <si>
    <t xml:space="preserve">Costa Rica </t>
  </si>
  <si>
    <t xml:space="preserve">Altitude: 602m asl, average annual temperature of 21.7 ◦C , average annual precipitation: 2648mm with 246 rain days per year. Soil: classified as an isohyperthermic Eutric Cambisol with a clay texture</t>
  </si>
  <si>
    <t xml:space="preserve">Oelbermann, M. et al., 2005. Above-and below-ground carbon inputs in 19-, 10-and 4-year-old Costa Rican Alley cropping systems. Ecosystems and Environment, 105(105), pp.163–172.</t>
  </si>
  <si>
    <t xml:space="preserve">9.83</t>
  </si>
  <si>
    <t xml:space="preserve">-83.85</t>
  </si>
  <si>
    <t xml:space="preserve">Costa Rica</t>
  </si>
  <si>
    <t xml:space="preserve">Erythrina poeppigiana, 19 years, -N</t>
  </si>
  <si>
    <t xml:space="preserve">Grillicidia sepium,  19 years, +N </t>
  </si>
  <si>
    <t xml:space="preserve">Grillicidia sepium, 19 years, -N</t>
  </si>
  <si>
    <t xml:space="preserve">Erythrina poeppigiana, 10 years, +N</t>
  </si>
  <si>
    <t xml:space="preserve">Erythrina poeppigiana, 10 years, -N</t>
  </si>
  <si>
    <t xml:space="preserve">Grillicidia sepium,  10 years, +N </t>
  </si>
  <si>
    <t xml:space="preserve">Grillicidia sepium, 10 years, -N</t>
  </si>
  <si>
    <t xml:space="preserve">Erythrina poeppigiana, 4 years, +N</t>
  </si>
  <si>
    <t xml:space="preserve">Erythrina poeppigiana, 4 years, -N</t>
  </si>
  <si>
    <t xml:space="preserve">Grillicidia sepium,  4 years, +N </t>
  </si>
  <si>
    <t xml:space="preserve">Grillicidia sepium, 4 years, -N</t>
  </si>
  <si>
    <t xml:space="preserve">Pulp trees</t>
  </si>
  <si>
    <t xml:space="preserve">Indonesia</t>
  </si>
  <si>
    <t xml:space="preserve">Palm, C.A. et al., 1999. Carbon sequestration and trace gas emissions in slash-and-burn and alternative land uses in the humid tropics. ASB Climate Change Working Group, (May 2014), p.29.
</t>
  </si>
  <si>
    <t xml:space="preserve">Rubber, complex/extensive agroforests Permanent rotational</t>
  </si>
  <si>
    <t xml:space="preserve">Indonesia </t>
  </si>
  <si>
    <t xml:space="preserve">Short Fallow: 5 years</t>
  </si>
  <si>
    <t xml:space="preserve">Brazil</t>
  </si>
  <si>
    <t xml:space="preserve">Improved Fallow: 5 years  </t>
  </si>
  <si>
    <t xml:space="preserve">Coffee , Simple agroforests/ intensive tree-crop</t>
  </si>
  <si>
    <t xml:space="preserve">Multistrata system</t>
  </si>
  <si>
    <t xml:space="preserve">Shifting cultivation: 23 year fallow</t>
  </si>
  <si>
    <t xml:space="preserve">Bush fallow: 9 years</t>
  </si>
  <si>
    <t xml:space="preserve">Chromolaena: 4 years  fallow</t>
  </si>
  <si>
    <t xml:space="preserve">Cacao, complex/extensive agroforests Permanent rotational</t>
  </si>
  <si>
    <t xml:space="preserve">Cameroon </t>
  </si>
  <si>
    <t xml:space="preserve">Picea abies L.</t>
  </si>
  <si>
    <t xml:space="preserve">Canada, University of Guelph Agroforestry Research Station</t>
  </si>
  <si>
    <t xml:space="preserve">Mean annual rainfall (mm): 830, Mean annual temperature (°C): 7.2</t>
  </si>
  <si>
    <t xml:space="preserve">Peichl, M., Thevathasan, N. V, Gordon, A.M., Huss, J., Abohassan, R.A., 2006. Carbon sequestration potentials in temperate tree-based intercropping systems, southern Ontario, Canada. Agrofor. Syst. 66, 243–257.</t>
  </si>
  <si>
    <t xml:space="preserve">Hybrid poplar</t>
  </si>
  <si>
    <t xml:space="preserve">Coffee and Diversified Shade</t>
  </si>
  <si>
    <t xml:space="preserve">Costa Rica, Las Nubes/Los Cusingos</t>
  </si>
  <si>
    <t xml:space="preserve">Eevation :700 to 1,000m, Annual rainfall: 3,500 mm </t>
  </si>
  <si>
    <t xml:space="preserve">Polzot, C.L., 2004. Carbon storage in coffee agroecosystems of Southern Costa Rica: potential applications for the Clean Development Mechanism. Faculty of Environmental Studies, 1, p.162.</t>
  </si>
  <si>
    <t xml:space="preserve">Coffee and Eucalyptus</t>
  </si>
  <si>
    <t xml:space="preserve">Elevation :700 to 1,000m, Annual rainfall: 3,500 mm </t>
  </si>
  <si>
    <t xml:space="preserve">Coffee and Poró</t>
  </si>
  <si>
    <t xml:space="preserve">Coffee and Musa spp,</t>
  </si>
  <si>
    <t xml:space="preserve">Coffee and Inga sp</t>
  </si>
  <si>
    <t xml:space="preserve">Cacao AFS+ Gliricidia sepium (Jacq.)</t>
  </si>
  <si>
    <t xml:space="preserve">Sulawesi+Lore Lindu National Park</t>
  </si>
  <si>
    <t xml:space="preserve">Altitude (masl): 469, Mean annual rainfall (mm): 2165, Mean annual temperature:  (°C)25</t>
  </si>
  <si>
    <t xml:space="preserve">Rajab, Y.A., Leuschner, C., Barus, H., Tjoa, A., Hertel, D., 2016. Cacao cultivation under diverse shade tree cover allows high carbon storage and sequestration without yield losses. PLoS One 11, 1–22.</t>
  </si>
  <si>
    <t xml:space="preserve">Sulawesi</t>
  </si>
  <si>
    <t xml:space="preserve">Cacao AFS+ multi tree species</t>
  </si>
  <si>
    <t xml:space="preserve">Alley cropping (3 m alleys) no mulch - first year</t>
  </si>
  <si>
    <t xml:space="preserve"> India, Patancheru</t>
  </si>
  <si>
    <t xml:space="preserve">Altitude: 540 m, Mean
annual rainfall: 765 mm</t>
  </si>
  <si>
    <t xml:space="preserve">Rao, M.R. et al., 1991. Productivity of annual cropping and agroforestry systems on a shallow Alfisol in semi-arid India. Agroforestry Systems, 15(1), pp.51–63.</t>
  </si>
  <si>
    <t xml:space="preserve">78</t>
  </si>
  <si>
    <t xml:space="preserve">Alley cropping (3 m alleys) mulch - first year</t>
  </si>
  <si>
    <t xml:space="preserve">Alley cropping (5.4 m alleys) no mulch - first year</t>
  </si>
  <si>
    <t xml:space="preserve">Alley cropping (5.4 m alleys) mulch - first year</t>
  </si>
  <si>
    <t xml:space="preserve">Alley cropping (3 m alleys) no mulch - second year</t>
  </si>
  <si>
    <t xml:space="preserve">Alley cropping (3 m alleys) mulch - second year</t>
  </si>
  <si>
    <t xml:space="preserve">Alley cropping (5.4 m alleys) no mulch - second year</t>
  </si>
  <si>
    <t xml:space="preserve">Alley cropping (5.4 m alleys) mulch - second year</t>
  </si>
  <si>
    <t xml:space="preserve">Alley cropping (3 m alleys) no mulch - third year</t>
  </si>
  <si>
    <t xml:space="preserve">Alley cropping (3 m alleys) mulch - third year</t>
  </si>
  <si>
    <t xml:space="preserve">Alley cropping (5.4 m alleys) no mulch - thirdt year</t>
  </si>
  <si>
    <t xml:space="preserve">Alley cropping (5.4 m alleys) mulch - third year</t>
  </si>
  <si>
    <t xml:space="preserve">Homegardens, Age: 15 years</t>
  </si>
  <si>
    <t xml:space="preserve">Indonesia, Karang Sakti,
Negara Jaya and Tegal Mukti in Pakuan Ratu district, Lampung province, Sumatra </t>
  </si>
  <si>
    <t xml:space="preserve">Soils are well drained, deep (&gt;1- 1.5 m), acidic and of low fertility. The major soil groups are Oxisols/ Ultisols 64% and Inceptisols 29% .Elevation is less than 100 m above sea level, mean annual temperature is 28°C, Annual rainfall averages 2200-2500 mm</t>
  </si>
  <si>
    <t xml:space="preserve">Roshetko J, Delaney, M., Hairiah, K. &amp; Purnomosidhi, P., 2002. Carbon stocks in Indonesian homegarden systems: Can smallholder systems be targeted for increased carbon storage? American Journal of Alternative Agriculture , 17(3), pp.138–148.</t>
  </si>
  <si>
    <t xml:space="preserve">Homegardens, Age: 12 years</t>
  </si>
  <si>
    <t xml:space="preserve">Homegardens, Age: 13 years</t>
  </si>
  <si>
    <t xml:space="preserve">Homegardens, Age: 14 years</t>
  </si>
  <si>
    <t xml:space="preserve">Homegardens, Age: 17 years</t>
  </si>
  <si>
    <t xml:space="preserve">Coffee AFS+ mixed species </t>
  </si>
  <si>
    <t xml:space="preserve">Guatemala, Department of Solola</t>
  </si>
  <si>
    <t xml:space="preserve">Altitude (masl): 628-3524, Mean annual rainfall (mm): 2504, Mean annual temperature (°C): 19.8</t>
  </si>
  <si>
    <t xml:space="preserve">Schmitt-Harsh, M., Evans, T.P., Castellanos, E., Randolph, J.C., 2012. Carbon stocks in coffee agroforests and mixed dry tropical forests in the western highlands of Guatemala. Agrofor. Syst. 86, 141–157.</t>
  </si>
  <si>
    <t xml:space="preserve">Guatemala</t>
  </si>
  <si>
    <t xml:space="preserve">Multistrata1 -N</t>
  </si>
  <si>
    <t xml:space="preserve">Brazil, Embrapa Amazonia Occidental near Manaus</t>
  </si>
  <si>
    <t xml:space="preserve">2600 mm, 26°C, Ferralsol</t>
  </si>
  <si>
    <t xml:space="preserve">Schroth G.  Teixeira W., Haag D., Lieberei R., D.S., 2002. Conversion of secondary forest into agroforestry amd monoculture plantations in Amazonia: consequesces for biomass, litter and soil carbon stocks after 7 years. For. Ecol. Manage. 163, 131–150.</t>
  </si>
  <si>
    <t xml:space="preserve">-2.919853</t>
  </si>
  <si>
    <t xml:space="preserve"> -59.958875</t>
  </si>
  <si>
    <t xml:space="preserve">Multistrata1 +N</t>
  </si>
  <si>
    <t xml:space="preserve">Multistrata2 -N</t>
  </si>
  <si>
    <t xml:space="preserve">Multistrata2 +N</t>
  </si>
  <si>
    <t xml:space="preserve">Multistrata3 -N</t>
  </si>
  <si>
    <t xml:space="preserve">Multistrata3 +N</t>
  </si>
  <si>
    <t xml:space="preserve">Silvopasture, Age : 11years</t>
  </si>
  <si>
    <t xml:space="preserve">USA ,W Oregon</t>
  </si>
  <si>
    <t xml:space="preserve">Sharrow, S.H. &amp; Ismail, S., 2004. Carbon and nitrogen storage in agroforests, tree plantations, and pastures in western Oregon, USA. Agroforestry Systems, 60(2), pp.123–130.</t>
  </si>
  <si>
    <t xml:space="preserve">USA</t>
  </si>
  <si>
    <t xml:space="preserve">Coffee AFS shadded with Inga densiflora</t>
  </si>
  <si>
    <t xml:space="preserve">Costa RicaSan Pedro de Barva</t>
  </si>
  <si>
    <t xml:space="preserve">Altitude (masl):1180, Mean annual rainfall (mm): 2300, Mean annual temperature (°C): 21</t>
  </si>
  <si>
    <t xml:space="preserve">Siles, P., Harmand, J.M. &amp; Vaast, P., 2010. Effects of Inga densiflora on the microclimate of coffee (Coffea arabica L.) and overall biomass under optimal growing conditions in Costa Rica. Agroforestry Systems, 78(3), pp.269–286.</t>
  </si>
  <si>
    <t xml:space="preserve">Toona ciliata+pearl millet, wheat</t>
  </si>
  <si>
    <t xml:space="preserve">India, Ludhiana, Punjab</t>
  </si>
  <si>
    <t xml:space="preserve">Mean annual rainfall (mm):726, Mean annual temperature (°C): 24.3</t>
  </si>
  <si>
    <t xml:space="preserve">Singh, B., Gill, R.I.S., 2014. Carbon sequestration and nutrient removal by some tree species in an agrisilviculture system in Punjab, India. Range Manag. Agrofor. 35, 107–114.</t>
  </si>
  <si>
    <t xml:space="preserve">Ailanthus excelsa+pearl millet, wheat</t>
  </si>
  <si>
    <t xml:space="preserve">Melia azedarach+ pearl millet, wheat</t>
  </si>
  <si>
    <t xml:space="preserve">Populus deltoides+pearl millet, wheat</t>
  </si>
  <si>
    <t xml:space="preserve">Eucalyptus tereticornis+ pearl millet, wheat</t>
  </si>
  <si>
    <t xml:space="preserve">Cocoa/Gliricidia sp, Mixed,Age: 8 years </t>
  </si>
  <si>
    <t xml:space="preserve">Indonesia, Sulawesi</t>
  </si>
  <si>
    <t xml:space="preserve">Temp: 21° C , Rainfall: 1550 mm </t>
  </si>
  <si>
    <t xml:space="preserve">Smiley, G.L., Kroschel, J., 2008. Temporal change in carbon stocks of cocoa – Gliricidia agroforests in Central Sulawesi, Indonesia. Agrofor. Syst. 73, 219–231 </t>
  </si>
  <si>
    <t xml:space="preserve">Cocoa/Gliricidia sp, Mixed,Age: 15 years </t>
  </si>
  <si>
    <t xml:space="preserve">Cocoa/Erythrina fusca ,Age: 30 years </t>
  </si>
  <si>
    <t xml:space="preserve">Brazil, Bahia</t>
  </si>
  <si>
    <t xml:space="preserve">Temp:26°C , Rainfall : 1500 mm</t>
  </si>
  <si>
    <t xml:space="preserve">Somarriba, E. et al., 2013. Carbon stocks and cocoa yields in agroforestry systems of Central America. Agriculture, Ecosystems and Environment, 173, pp.46–57</t>
  </si>
  <si>
    <t xml:space="preserve">Cocoa Cabruca, 30 years </t>
  </si>
  <si>
    <t xml:space="preserve">Temp:26°C , Rainfall : 1500mm </t>
  </si>
  <si>
    <t xml:space="preserve">Cocoa/Hevea Brasiliensis,Age: 34 years </t>
  </si>
  <si>
    <t xml:space="preserve">Temp: 25°C, Rainfall : 1500mm</t>
  </si>
  <si>
    <t xml:space="preserve">-41.70056</t>
  </si>
  <si>
    <t xml:space="preserve">Cocoa/Timber/Fruit trees,Age: 20 years  </t>
  </si>
  <si>
    <t xml:space="preserve">Peru, Amazon</t>
  </si>
  <si>
    <t xml:space="preserve">Temp:25°C , Rainfall : 1500mm</t>
  </si>
  <si>
    <t xml:space="preserve">Cocoa/Timber/Fruit trees,Age: 12 years  </t>
  </si>
  <si>
    <t xml:space="preserve">Cocoa/Timber/Fruit trees,Age: 5 years  </t>
  </si>
  <si>
    <t xml:space="preserve">Cocoa/musa/Cordia alliorata ,Age: 13 years </t>
  </si>
  <si>
    <t xml:space="preserve">Colombia, Caldas</t>
  </si>
  <si>
    <t xml:space="preserve">Temp: 23°C, Rainfall : 2250mm</t>
  </si>
  <si>
    <t xml:space="preserve">-75.24778</t>
  </si>
  <si>
    <t xml:space="preserve">Colombia </t>
  </si>
  <si>
    <t xml:space="preserve">Cocoa/cordia alliodora,Age: 25 years </t>
  </si>
  <si>
    <t xml:space="preserve">Panama, Bocas del Toro</t>
  </si>
  <si>
    <t xml:space="preserve">Temp: 27°C, 3000 mm</t>
  </si>
  <si>
    <t xml:space="preserve">Cocoa/Cordia alliodora,Age: 10 years </t>
  </si>
  <si>
    <t xml:space="preserve">Costa Rica, Turrialba</t>
  </si>
  <si>
    <t xml:space="preserve">Temp: 24°C,2500-3000 mm </t>
  </si>
  <si>
    <t xml:space="preserve">-83.68</t>
  </si>
  <si>
    <t xml:space="preserve">Cocoa-Albizia,Age: 8 years </t>
  </si>
  <si>
    <t xml:space="preserve">Ghana, West</t>
  </si>
  <si>
    <t xml:space="preserve">Temp: 26° C, Rainfall: 1100 mm </t>
  </si>
  <si>
    <t xml:space="preserve">6.12</t>
  </si>
  <si>
    <t xml:space="preserve">-02.29</t>
  </si>
  <si>
    <t xml:space="preserve">Cocoa/Milicia,8 years</t>
  </si>
  <si>
    <t xml:space="preserve">Temp: 26°C , Rainfall: 1100 mm </t>
  </si>
  <si>
    <t xml:space="preserve">Cocoa/Newbouldia,Age: 8 years </t>
  </si>
  <si>
    <t xml:space="preserve">Temp: 26° C , Rainfall: 1100 mm </t>
  </si>
  <si>
    <t xml:space="preserve">Cocoa/timber Shadeless, Age: 40 years </t>
  </si>
  <si>
    <t xml:space="preserve">Cameroon, Southeast</t>
  </si>
  <si>
    <t xml:space="preserve">Temp: 21°C, Rainfall:1550mm </t>
  </si>
  <si>
    <t xml:space="preserve">Gmelina arborea in Agrisilviculture </t>
  </si>
  <si>
    <t xml:space="preserve">Central India, Chhattisgarh</t>
  </si>
  <si>
    <t xml:space="preserve">Mean annual rainfall (mm):1300, Mean annual temperature (°C): 26.8</t>
  </si>
  <si>
    <t xml:space="preserve">Swamy, S.L., Puri, S., 2005. Biomass production and C-sequestration of Gmelina arborea in plantation and agroforestry system in India. Agrofor. Syst. 64, 181–195.</t>
  </si>
  <si>
    <t xml:space="preserve">Faidherbia albida parkland, AverAge 88,6% F, albida dominance</t>
  </si>
  <si>
    <t xml:space="preserve">Mali, Segou</t>
  </si>
  <si>
    <t xml:space="preserve">DBH: 59.4 (1.8), Height (m): 13.0 (0.9), Number of trees/ha: 21 (5.3). Annual rainfall: 300-700 mm, Mean annual temperature: 29 C,  The soils: Haplustalfs in USDA soil taxonomy (Doumbia, 2000) or Lixisol dominant according to FAO soil classification,vary from whitish or dark gray to reddish brown, and are mostly sandy loam or loamy sand. </t>
  </si>
  <si>
    <t xml:space="preserve">Takimoto, A., Nair, P.K.R. &amp; Nair, V.D., 2008. Carbon stock and sequestration potential of traditional and improved agroforestry systems in the West African Sahel. Agriculture, Ecosystems and Environment, 125(1–4), pp.159–166.</t>
  </si>
  <si>
    <t xml:space="preserve">-6.516667</t>
  </si>
  <si>
    <t xml:space="preserve">Mali</t>
  </si>
  <si>
    <t xml:space="preserve">Vitellaria paradoxa parkland, AverAge 80,6% V, paradoxa dominance</t>
  </si>
  <si>
    <t xml:space="preserve">DBH: 41.7 (5.9), Height (m): 9.9 (0.9), Number of trees/ha: 20 (0.6), Annual rainfall: 300-700 mm, Mean annual temperature: 29 C,  The soils: Haplustalfs in USDA soil taxonomy (Doumbia, 2000) or Lixisol dominant according to FAO soil classification,vary from whitish or dark gray to reddish brown, and are mostly sandy loam or loamy sand. </t>
  </si>
  <si>
    <t xml:space="preserve">-6.383333</t>
  </si>
  <si>
    <t xml:space="preserve">Live fence</t>
  </si>
  <si>
    <t xml:space="preserve">DBH: 2.2 (0.5) , Height (m):2.0 (1.1) , Number of trees/ha: 588 (277), Annual rainfall: 300-700 mm, Mean annual temperature: 29 C,  The soils: Haplustalfs in USDA soil taxonomy (Doumbia, 2000) or Lixisol dominant according to FAO soil classification,vary from whitish or dark gray to reddish brown, and are mostly sandy loam or loamy sand. </t>
  </si>
  <si>
    <t xml:space="preserve">Fodder bank</t>
  </si>
  <si>
    <t xml:space="preserve">Gliricidia sepium+Brachiaria decumbens</t>
  </si>
  <si>
    <t xml:space="preserve">Mexico, Sierra de Tacotalpa, Tabasco</t>
  </si>
  <si>
    <t xml:space="preserve">Altitude (masl): 50, Mean annual rainfall (mm): 3179, Mean annual temperature (°C): 26</t>
  </si>
  <si>
    <t xml:space="preserve">Villanueva-Lopez, G., Martinez-Zurimendi, P., Casanova-Lugo, F., Ramirez-Aviles, L., Montanez-Escalante, P.I., 2015. Carbon storage in livestock systems with and without live fences of Gliricidia sepium in the humid tropics of Mexico. Agrofor. Syst. 89, 1083–1096. </t>
  </si>
  <si>
    <t xml:space="preserve">Mexico</t>
  </si>
  <si>
    <t xml:space="preserve">Traditional cocoa (&gt;25% shade)
Intensive,Age: 50 years </t>
  </si>
  <si>
    <t xml:space="preserve">Ghana, East </t>
  </si>
  <si>
    <t xml:space="preserve">Temp: 24–29° C , Rainfall: 1200–1600 mm </t>
  </si>
  <si>
    <t xml:space="preserve">Wade, A.S.I., Asase, A., Hadley, P., Mason, J., Ofori-Frimpong, K., Preece, D., Spring, N., Norris, K., 2010. Management strategies for maximizing carbon storage and tree species diversity in cocoa-growing landscapes. Agric. Ecosyst. Environ. 138, 324–334.</t>
  </si>
  <si>
    <t xml:space="preserve">6.3</t>
  </si>
  <si>
    <t xml:space="preserve">-0.4</t>
  </si>
  <si>
    <t xml:space="preserve">Intensive cocoa (&lt;25% shade),Age: 50 years </t>
  </si>
  <si>
    <t xml:space="preserve">Temp: 24–29°C ,  Rainfall: 1200–1600 mm </t>
  </si>
  <si>
    <t xml:space="preserve">Hybrid poplar, soybeen Intercropping system Age: 25years </t>
  </si>
  <si>
    <t xml:space="preserve">Canada, southwestern Ontario</t>
  </si>
  <si>
    <t xml:space="preserve">Mean annual temperature: 7.2 C,mean precipitation of 833 mm, soil is an Albic Luvisol with a sandy loam texture, tree density: 111 trees/ha </t>
  </si>
  <si>
    <t xml:space="preserve">Wotherspoon, A. et al., 2014. Carbon sequestration potential of five tree species in a 25-year-old temperate tree-based intercropping system in southern Ontario, Canada. Agroforestry Systems, 88(4), pp.631–643. 
</t>
  </si>
  <si>
    <t xml:space="preserve">Red oak, soybeen Intercropping system Age: 25years </t>
  </si>
  <si>
    <t xml:space="preserve">Black walnut 
Norway, soybeen Intercropping system Age: 25years </t>
  </si>
  <si>
    <t xml:space="preserve">Norway spruce, soybeen Intercropping system Age: 25years </t>
  </si>
  <si>
    <t xml:space="preserve">White cedar,soybeen Intercropping  system Age: 25years </t>
  </si>
</sst>
</file>

<file path=xl/styles.xml><?xml version="1.0" encoding="utf-8"?>
<styleSheet xmlns="http://schemas.openxmlformats.org/spreadsheetml/2006/main">
  <numFmts count="6">
    <numFmt numFmtId="164" formatCode="General"/>
    <numFmt numFmtId="165" formatCode="@"/>
    <numFmt numFmtId="166" formatCode="0.00"/>
    <numFmt numFmtId="167" formatCode="0.0"/>
    <numFmt numFmtId="168" formatCode="0.0000"/>
    <numFmt numFmtId="169" formatCode="0"/>
  </numFmts>
  <fonts count="8">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name val="Calibri"/>
      <family val="2"/>
      <charset val="1"/>
    </font>
    <font>
      <b val="true"/>
      <sz val="11"/>
      <color rgb="FF000000"/>
      <name val="Calibri"/>
      <family val="2"/>
      <charset val="1"/>
    </font>
    <font>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5" fontId="0" fillId="0" borderId="0" xfId="0" applyFont="false" applyBorder="false" applyAlignment="true" applyProtection="false">
      <alignment horizontal="left" vertical="top" textRotation="0" wrapText="false" indent="0" shrinkToFit="false"/>
      <protection locked="true" hidden="false"/>
    </xf>
    <xf numFmtId="166" fontId="0" fillId="0" borderId="0" xfId="0" applyFont="false" applyBorder="false" applyAlignment="true" applyProtection="false">
      <alignment horizontal="left"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5"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6"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false" indent="0" shrinkToFit="false"/>
      <protection locked="true" hidden="false"/>
    </xf>
    <xf numFmtId="167" fontId="7" fillId="0" borderId="0" xfId="0" applyFont="true" applyBorder="false" applyAlignment="true" applyProtection="false">
      <alignment horizontal="left" vertical="top" textRotation="0" wrapText="false" indent="0" shrinkToFit="false"/>
      <protection locked="true" hidden="false"/>
    </xf>
    <xf numFmtId="165" fontId="7" fillId="0" borderId="0" xfId="0" applyFont="true" applyBorder="false" applyAlignment="true" applyProtection="false">
      <alignment horizontal="left" vertical="top" textRotation="0" wrapText="false" indent="0" shrinkToFit="false"/>
      <protection locked="true" hidden="false"/>
    </xf>
    <xf numFmtId="166" fontId="7"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left" vertical="top" textRotation="0" wrapText="false" indent="0" shrinkToFit="false"/>
      <protection locked="true" hidden="false"/>
    </xf>
    <xf numFmtId="169" fontId="7" fillId="0" borderId="0" xfId="0" applyFont="true" applyBorder="false" applyAlignment="true" applyProtection="false">
      <alignment horizontal="left" vertical="top"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_EFDB_input_form_20061012" xfId="2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325"/>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1" ySplit="1" topLeftCell="G305" activePane="bottomRight" state="frozen"/>
      <selection pane="topLeft" activeCell="F1" activeCellId="0" sqref="F1"/>
      <selection pane="topRight" activeCell="G1" activeCellId="0" sqref="G1"/>
      <selection pane="bottomLeft" activeCell="F305" activeCellId="0" sqref="F305"/>
      <selection pane="bottomRight" activeCell="L321" activeCellId="0" sqref="L321:L325"/>
    </sheetView>
  </sheetViews>
  <sheetFormatPr defaultColWidth="11.4296875" defaultRowHeight="13.8" zeroHeight="false" outlineLevelRow="0" outlineLevelCol="0"/>
  <cols>
    <col collapsed="false" customWidth="true" hidden="false" outlineLevel="0" max="1" min="1" style="1" width="6"/>
    <col collapsed="false" customWidth="true" hidden="false" outlineLevel="0" max="2" min="2" style="1" width="33.86"/>
    <col collapsed="false" customWidth="true" hidden="false" outlineLevel="0" max="3" min="3" style="1" width="22.15"/>
    <col collapsed="false" customWidth="true" hidden="false" outlineLevel="0" max="4" min="4" style="1" width="48.43"/>
    <col collapsed="false" customWidth="true" hidden="false" outlineLevel="0" max="5" min="5" style="1" width="24.85"/>
    <col collapsed="false" customWidth="true" hidden="false" outlineLevel="0" max="6" min="6" style="1" width="36.85"/>
    <col collapsed="false" customWidth="true" hidden="false" outlineLevel="0" max="7" min="7" style="1" width="12.71"/>
    <col collapsed="false" customWidth="false" hidden="false" outlineLevel="0" max="8" min="8" style="1" width="11.43"/>
    <col collapsed="false" customWidth="true" hidden="false" outlineLevel="0" max="9" min="9" style="1" width="21.43"/>
    <col collapsed="false" customWidth="false" hidden="false" outlineLevel="0" max="10" min="10" style="1" width="11.43"/>
    <col collapsed="false" customWidth="true" hidden="false" outlineLevel="0" max="11" min="11" style="1" width="72.14"/>
    <col collapsed="false" customWidth="false" hidden="false" outlineLevel="0" max="13" min="12" style="1" width="11.43"/>
    <col collapsed="false" customWidth="false" hidden="false" outlineLevel="0" max="15" min="14" style="2" width="11.43"/>
    <col collapsed="false" customWidth="true" hidden="false" outlineLevel="0" max="16" min="16" style="1" width="15.57"/>
    <col collapsed="false" customWidth="true" hidden="false" outlineLevel="0" max="17" min="17" style="1" width="18.43"/>
    <col collapsed="false" customWidth="true" hidden="false" outlineLevel="0" max="18" min="18" style="1" width="18.28"/>
    <col collapsed="false" customWidth="false" hidden="false" outlineLevel="0" max="19" min="19" style="1" width="11.43"/>
    <col collapsed="false" customWidth="true" hidden="false" outlineLevel="0" max="21" min="20" style="1" width="16.43"/>
    <col collapsed="false" customWidth="true" hidden="false" outlineLevel="0" max="22" min="22" style="1" width="24.57"/>
    <col collapsed="false" customWidth="true" hidden="false" outlineLevel="0" max="23" min="23" style="1" width="22.71"/>
    <col collapsed="false" customWidth="true" hidden="false" outlineLevel="0" max="24" min="24" style="1" width="26.72"/>
    <col collapsed="false" customWidth="true" hidden="false" outlineLevel="0" max="25" min="25" style="1" width="16.71"/>
    <col collapsed="false" customWidth="true" hidden="false" outlineLevel="0" max="26" min="26" style="1" width="22.71"/>
    <col collapsed="false" customWidth="false" hidden="false" outlineLevel="0" max="28" min="27" style="3" width="11.43"/>
    <col collapsed="false" customWidth="true" hidden="false" outlineLevel="0" max="29" min="29" style="3" width="22.43"/>
    <col collapsed="false" customWidth="true" hidden="false" outlineLevel="0" max="30" min="30" style="3" width="22.28"/>
    <col collapsed="false" customWidth="false" hidden="false" outlineLevel="0" max="1024" min="31" style="1" width="11.43"/>
  </cols>
  <sheetData>
    <row r="1" s="8" customFormat="true" ht="30" hidden="false" customHeight="false" outlineLevel="0" collapsed="false">
      <c r="A1" s="4" t="s">
        <v>0</v>
      </c>
      <c r="B1" s="4" t="s">
        <v>1</v>
      </c>
      <c r="C1" s="4" t="s">
        <v>2</v>
      </c>
      <c r="D1" s="4" t="s">
        <v>3</v>
      </c>
      <c r="E1" s="4" t="s">
        <v>4</v>
      </c>
      <c r="F1" s="4" t="s">
        <v>5</v>
      </c>
      <c r="G1" s="4" t="s">
        <v>6</v>
      </c>
      <c r="H1" s="4" t="s">
        <v>7</v>
      </c>
      <c r="I1" s="4" t="s">
        <v>8</v>
      </c>
      <c r="J1" s="4" t="s">
        <v>9</v>
      </c>
      <c r="K1" s="4" t="s">
        <v>10</v>
      </c>
      <c r="L1" s="4" t="s">
        <v>11</v>
      </c>
      <c r="M1" s="4" t="s">
        <v>12</v>
      </c>
      <c r="N1" s="5" t="s">
        <v>13</v>
      </c>
      <c r="O1" s="5" t="s">
        <v>14</v>
      </c>
      <c r="P1" s="4" t="s">
        <v>15</v>
      </c>
      <c r="Q1" s="4" t="s">
        <v>16</v>
      </c>
      <c r="R1" s="4" t="s">
        <v>17</v>
      </c>
      <c r="S1" s="4" t="s">
        <v>18</v>
      </c>
      <c r="T1" s="4" t="s">
        <v>19</v>
      </c>
      <c r="U1" s="6" t="s">
        <v>20</v>
      </c>
      <c r="V1" s="6" t="s">
        <v>21</v>
      </c>
      <c r="W1" s="6" t="s">
        <v>22</v>
      </c>
      <c r="X1" s="6" t="s">
        <v>23</v>
      </c>
      <c r="Y1" s="6" t="s">
        <v>24</v>
      </c>
      <c r="Z1" s="4" t="s">
        <v>25</v>
      </c>
      <c r="AA1" s="7" t="s">
        <v>26</v>
      </c>
      <c r="AB1" s="7" t="s">
        <v>27</v>
      </c>
      <c r="AC1" s="7" t="s">
        <v>28</v>
      </c>
      <c r="AD1" s="7" t="s">
        <v>29</v>
      </c>
    </row>
    <row r="2" customFormat="false" ht="13.8" hidden="false" customHeight="false" outlineLevel="0" collapsed="false">
      <c r="A2" s="9" t="n">
        <v>1</v>
      </c>
      <c r="B2" s="9" t="s">
        <v>30</v>
      </c>
      <c r="C2" s="9" t="s">
        <v>31</v>
      </c>
      <c r="D2" s="9" t="s">
        <v>32</v>
      </c>
      <c r="E2" s="9" t="s">
        <v>33</v>
      </c>
      <c r="F2" s="9" t="s">
        <v>34</v>
      </c>
      <c r="G2" s="9" t="n">
        <v>398</v>
      </c>
      <c r="H2" s="9" t="s">
        <v>35</v>
      </c>
      <c r="I2" s="9" t="n">
        <f aca="false">G2/100</f>
        <v>3.98</v>
      </c>
      <c r="J2" s="9" t="s">
        <v>36</v>
      </c>
      <c r="K2" s="9" t="s">
        <v>37</v>
      </c>
      <c r="L2" s="10" t="n">
        <v>2011</v>
      </c>
      <c r="M2" s="9" t="s">
        <v>38</v>
      </c>
      <c r="N2" s="11" t="n">
        <v>13.2666667</v>
      </c>
      <c r="O2" s="11" t="n">
        <v>30.4833333333333</v>
      </c>
      <c r="P2" s="9" t="s">
        <v>39</v>
      </c>
      <c r="Q2" s="9" t="s">
        <v>40</v>
      </c>
      <c r="R2" s="9" t="s">
        <v>41</v>
      </c>
      <c r="S2" s="9" t="s">
        <v>42</v>
      </c>
      <c r="T2" s="9" t="s">
        <v>43</v>
      </c>
      <c r="U2" s="9" t="n">
        <v>15</v>
      </c>
      <c r="V2" s="9" t="n">
        <v>15</v>
      </c>
      <c r="W2" s="9" t="n">
        <v>117</v>
      </c>
      <c r="X2" s="9"/>
      <c r="Y2" s="9" t="n">
        <f aca="false">W2+X2</f>
        <v>117</v>
      </c>
      <c r="Z2" s="9"/>
      <c r="AA2" s="12" t="n">
        <f aca="false">AB2/I2</f>
        <v>0.479899497487437</v>
      </c>
      <c r="AB2" s="12" t="n">
        <f aca="false">191/100</f>
        <v>1.91</v>
      </c>
      <c r="AC2" s="12" t="n">
        <f aca="false">I2/V2</f>
        <v>0.265333333333333</v>
      </c>
      <c r="AD2" s="12" t="n">
        <f aca="false">AB2/V2</f>
        <v>0.127333333333333</v>
      </c>
    </row>
    <row r="3" customFormat="false" ht="13.8" hidden="false" customHeight="false" outlineLevel="0" collapsed="false">
      <c r="A3" s="9" t="n">
        <v>2</v>
      </c>
      <c r="B3" s="9" t="s">
        <v>30</v>
      </c>
      <c r="C3" s="9" t="s">
        <v>31</v>
      </c>
      <c r="D3" s="9" t="s">
        <v>32</v>
      </c>
      <c r="E3" s="9" t="s">
        <v>33</v>
      </c>
      <c r="F3" s="9" t="s">
        <v>34</v>
      </c>
      <c r="G3" s="9" t="n">
        <v>520</v>
      </c>
      <c r="H3" s="9" t="s">
        <v>35</v>
      </c>
      <c r="I3" s="9" t="n">
        <f aca="false">G3/100</f>
        <v>5.2</v>
      </c>
      <c r="J3" s="9" t="s">
        <v>36</v>
      </c>
      <c r="K3" s="9" t="s">
        <v>37</v>
      </c>
      <c r="L3" s="10" t="n">
        <v>2011</v>
      </c>
      <c r="M3" s="9" t="s">
        <v>38</v>
      </c>
      <c r="N3" s="11" t="n">
        <v>13.2666667</v>
      </c>
      <c r="O3" s="11" t="n">
        <v>30.4833333333333</v>
      </c>
      <c r="P3" s="9" t="s">
        <v>39</v>
      </c>
      <c r="Q3" s="9" t="s">
        <v>40</v>
      </c>
      <c r="R3" s="9" t="s">
        <v>41</v>
      </c>
      <c r="S3" s="9" t="s">
        <v>42</v>
      </c>
      <c r="T3" s="9" t="s">
        <v>43</v>
      </c>
      <c r="U3" s="9" t="n">
        <v>24</v>
      </c>
      <c r="V3" s="9" t="n">
        <v>24</v>
      </c>
      <c r="W3" s="9" t="n">
        <v>167</v>
      </c>
      <c r="X3" s="9"/>
      <c r="Y3" s="9" t="n">
        <f aca="false">W3+X3</f>
        <v>167</v>
      </c>
      <c r="Z3" s="9"/>
      <c r="AA3" s="12" t="n">
        <f aca="false">AB3/I3</f>
        <v>0.480769230769231</v>
      </c>
      <c r="AB3" s="12" t="n">
        <f aca="false">250/100</f>
        <v>2.5</v>
      </c>
      <c r="AC3" s="12" t="n">
        <f aca="false">I3/V3</f>
        <v>0.216666666666667</v>
      </c>
      <c r="AD3" s="12" t="n">
        <f aca="false">AB3/V3</f>
        <v>0.104166666666667</v>
      </c>
    </row>
    <row r="4" customFormat="false" ht="13.8" hidden="false" customHeight="false" outlineLevel="0" collapsed="false">
      <c r="A4" s="9" t="n">
        <v>3</v>
      </c>
      <c r="B4" s="9" t="s">
        <v>30</v>
      </c>
      <c r="C4" s="9" t="s">
        <v>31</v>
      </c>
      <c r="D4" s="9" t="s">
        <v>32</v>
      </c>
      <c r="E4" s="9" t="s">
        <v>44</v>
      </c>
      <c r="F4" s="9" t="s">
        <v>45</v>
      </c>
      <c r="G4" s="9" t="n">
        <v>555</v>
      </c>
      <c r="H4" s="9" t="s">
        <v>46</v>
      </c>
      <c r="I4" s="9" t="n">
        <f aca="false">G4/100</f>
        <v>5.55</v>
      </c>
      <c r="J4" s="9" t="s">
        <v>36</v>
      </c>
      <c r="K4" s="9" t="s">
        <v>37</v>
      </c>
      <c r="L4" s="10" t="n">
        <v>2011</v>
      </c>
      <c r="M4" s="9" t="s">
        <v>38</v>
      </c>
      <c r="N4" s="11" t="n">
        <v>13.3166667</v>
      </c>
      <c r="O4" s="11" t="n">
        <v>30.1666666666666</v>
      </c>
      <c r="P4" s="9" t="s">
        <v>39</v>
      </c>
      <c r="Q4" s="9" t="s">
        <v>40</v>
      </c>
      <c r="R4" s="9" t="s">
        <v>41</v>
      </c>
      <c r="S4" s="9" t="s">
        <v>42</v>
      </c>
      <c r="T4" s="9" t="s">
        <v>43</v>
      </c>
      <c r="U4" s="9" t="n">
        <v>7</v>
      </c>
      <c r="V4" s="9" t="n">
        <v>7</v>
      </c>
      <c r="W4" s="9" t="n">
        <v>327</v>
      </c>
      <c r="X4" s="9"/>
      <c r="Y4" s="9" t="n">
        <f aca="false">W4+X4</f>
        <v>327</v>
      </c>
      <c r="Z4" s="9"/>
      <c r="AA4" s="12" t="n">
        <f aca="false">AB4/I4</f>
        <v>0.479279279279279</v>
      </c>
      <c r="AB4" s="12" t="n">
        <f aca="false">266/100</f>
        <v>2.66</v>
      </c>
      <c r="AC4" s="12" t="n">
        <f aca="false">I4/V4</f>
        <v>0.792857142857143</v>
      </c>
      <c r="AD4" s="12" t="n">
        <f aca="false">AB4/V4</f>
        <v>0.38</v>
      </c>
    </row>
    <row r="5" customFormat="false" ht="13.8" hidden="false" customHeight="false" outlineLevel="0" collapsed="false">
      <c r="A5" s="9" t="n">
        <v>4</v>
      </c>
      <c r="B5" s="9" t="s">
        <v>30</v>
      </c>
      <c r="C5" s="9" t="s">
        <v>31</v>
      </c>
      <c r="D5" s="9" t="s">
        <v>32</v>
      </c>
      <c r="E5" s="9" t="s">
        <v>44</v>
      </c>
      <c r="F5" s="9" t="s">
        <v>45</v>
      </c>
      <c r="G5" s="9" t="n">
        <v>541</v>
      </c>
      <c r="H5" s="9" t="s">
        <v>46</v>
      </c>
      <c r="I5" s="9" t="n">
        <f aca="false">G5/100</f>
        <v>5.41</v>
      </c>
      <c r="J5" s="9" t="s">
        <v>36</v>
      </c>
      <c r="K5" s="9" t="s">
        <v>37</v>
      </c>
      <c r="L5" s="10" t="n">
        <v>2011</v>
      </c>
      <c r="M5" s="9" t="s">
        <v>38</v>
      </c>
      <c r="N5" s="11" t="n">
        <v>13.3166667</v>
      </c>
      <c r="O5" s="11" t="n">
        <v>30.1666666666666</v>
      </c>
      <c r="P5" s="9" t="s">
        <v>39</v>
      </c>
      <c r="Q5" s="9" t="s">
        <v>40</v>
      </c>
      <c r="R5" s="9" t="s">
        <v>41</v>
      </c>
      <c r="S5" s="9" t="s">
        <v>42</v>
      </c>
      <c r="T5" s="9" t="s">
        <v>43</v>
      </c>
      <c r="U5" s="9" t="n">
        <v>15</v>
      </c>
      <c r="V5" s="9" t="n">
        <v>15</v>
      </c>
      <c r="W5" s="9" t="n">
        <v>177</v>
      </c>
      <c r="X5" s="9"/>
      <c r="Y5" s="9" t="n">
        <f aca="false">W5+X5</f>
        <v>177</v>
      </c>
      <c r="Z5" s="9"/>
      <c r="AA5" s="12" t="n">
        <f aca="false">AB5/I5</f>
        <v>0.480591497227357</v>
      </c>
      <c r="AB5" s="12" t="n">
        <f aca="false">260/100</f>
        <v>2.6</v>
      </c>
      <c r="AC5" s="12" t="n">
        <f aca="false">I5/V5</f>
        <v>0.360666666666667</v>
      </c>
      <c r="AD5" s="12" t="n">
        <f aca="false">AB5/V5</f>
        <v>0.173333333333333</v>
      </c>
    </row>
    <row r="6" customFormat="false" ht="13.8" hidden="false" customHeight="false" outlineLevel="0" collapsed="false">
      <c r="A6" s="9" t="n">
        <v>5</v>
      </c>
      <c r="B6" s="9" t="s">
        <v>30</v>
      </c>
      <c r="C6" s="9" t="s">
        <v>31</v>
      </c>
      <c r="D6" s="9" t="s">
        <v>32</v>
      </c>
      <c r="E6" s="9" t="s">
        <v>44</v>
      </c>
      <c r="F6" s="9" t="s">
        <v>45</v>
      </c>
      <c r="G6" s="9" t="n">
        <v>689</v>
      </c>
      <c r="H6" s="9" t="s">
        <v>46</v>
      </c>
      <c r="I6" s="9" t="n">
        <f aca="false">G6/100</f>
        <v>6.89</v>
      </c>
      <c r="J6" s="9" t="s">
        <v>36</v>
      </c>
      <c r="K6" s="9" t="s">
        <v>37</v>
      </c>
      <c r="L6" s="10" t="n">
        <v>2011</v>
      </c>
      <c r="M6" s="9" t="s">
        <v>38</v>
      </c>
      <c r="N6" s="11" t="n">
        <v>13.3166667</v>
      </c>
      <c r="O6" s="11" t="n">
        <v>30.1666666666666</v>
      </c>
      <c r="P6" s="9" t="s">
        <v>39</v>
      </c>
      <c r="Q6" s="9" t="s">
        <v>40</v>
      </c>
      <c r="R6" s="9" t="s">
        <v>41</v>
      </c>
      <c r="S6" s="9" t="s">
        <v>42</v>
      </c>
      <c r="T6" s="9" t="s">
        <v>43</v>
      </c>
      <c r="U6" s="9" t="n">
        <v>20</v>
      </c>
      <c r="V6" s="9" t="n">
        <v>20</v>
      </c>
      <c r="W6" s="9" t="n">
        <v>203</v>
      </c>
      <c r="X6" s="9"/>
      <c r="Y6" s="9" t="n">
        <f aca="false">W6+X6</f>
        <v>203</v>
      </c>
      <c r="Z6" s="9"/>
      <c r="AA6" s="12" t="n">
        <f aca="false">AB6/I6</f>
        <v>0.480406386066763</v>
      </c>
      <c r="AB6" s="12" t="n">
        <f aca="false">331/100</f>
        <v>3.31</v>
      </c>
      <c r="AC6" s="12" t="n">
        <f aca="false">I6/V6</f>
        <v>0.3445</v>
      </c>
      <c r="AD6" s="12" t="n">
        <f aca="false">AB6/V6</f>
        <v>0.1655</v>
      </c>
    </row>
    <row r="7" customFormat="false" ht="13.8" hidden="false" customHeight="false" outlineLevel="0" collapsed="false">
      <c r="A7" s="9" t="n">
        <v>6</v>
      </c>
      <c r="B7" s="9" t="s">
        <v>30</v>
      </c>
      <c r="C7" s="9" t="s">
        <v>47</v>
      </c>
      <c r="D7" s="9" t="s">
        <v>48</v>
      </c>
      <c r="E7" s="9" t="s">
        <v>49</v>
      </c>
      <c r="F7" s="9"/>
      <c r="G7" s="9" t="n">
        <v>32.15</v>
      </c>
      <c r="H7" s="9" t="s">
        <v>36</v>
      </c>
      <c r="I7" s="9"/>
      <c r="J7" s="9"/>
      <c r="K7" s="9" t="s">
        <v>50</v>
      </c>
      <c r="L7" s="10" t="s">
        <v>51</v>
      </c>
      <c r="M7" s="9" t="s">
        <v>52</v>
      </c>
      <c r="N7" s="11" t="n">
        <v>9.066665</v>
      </c>
      <c r="O7" s="11" t="n">
        <v>8.408335</v>
      </c>
      <c r="P7" s="9" t="s">
        <v>39</v>
      </c>
      <c r="Q7" s="9" t="s">
        <v>53</v>
      </c>
      <c r="R7" s="9" t="s">
        <v>41</v>
      </c>
      <c r="S7" s="9" t="s">
        <v>49</v>
      </c>
      <c r="T7" s="9" t="s">
        <v>43</v>
      </c>
      <c r="U7" s="9" t="n">
        <v>7</v>
      </c>
      <c r="V7" s="9" t="n">
        <v>7</v>
      </c>
      <c r="W7" s="9"/>
      <c r="X7" s="9"/>
      <c r="Y7" s="9"/>
      <c r="Z7" s="9"/>
      <c r="AA7" s="12" t="n">
        <v>0.24</v>
      </c>
      <c r="AB7" s="12"/>
      <c r="AC7" s="12" t="n">
        <v>4.59285714285714</v>
      </c>
      <c r="AD7" s="12" t="n">
        <f aca="false">AC7*AA7</f>
        <v>1.10228571428571</v>
      </c>
    </row>
    <row r="8" customFormat="false" ht="13.8" hidden="false" customHeight="false" outlineLevel="0" collapsed="false">
      <c r="A8" s="9" t="n">
        <v>7</v>
      </c>
      <c r="B8" s="9" t="s">
        <v>30</v>
      </c>
      <c r="C8" s="9" t="s">
        <v>47</v>
      </c>
      <c r="D8" s="9" t="s">
        <v>54</v>
      </c>
      <c r="E8" s="9" t="s">
        <v>49</v>
      </c>
      <c r="F8" s="9"/>
      <c r="G8" s="9" t="n">
        <v>101.4</v>
      </c>
      <c r="H8" s="9" t="s">
        <v>36</v>
      </c>
      <c r="I8" s="9"/>
      <c r="J8" s="9"/>
      <c r="K8" s="9" t="s">
        <v>50</v>
      </c>
      <c r="L8" s="10" t="s">
        <v>51</v>
      </c>
      <c r="M8" s="9" t="s">
        <v>52</v>
      </c>
      <c r="N8" s="11" t="n">
        <v>9.066665</v>
      </c>
      <c r="O8" s="11" t="n">
        <v>8.408335</v>
      </c>
      <c r="P8" s="9" t="s">
        <v>39</v>
      </c>
      <c r="Q8" s="9" t="s">
        <v>53</v>
      </c>
      <c r="R8" s="9" t="s">
        <v>41</v>
      </c>
      <c r="S8" s="9" t="s">
        <v>49</v>
      </c>
      <c r="T8" s="9" t="s">
        <v>43</v>
      </c>
      <c r="U8" s="9" t="n">
        <v>15</v>
      </c>
      <c r="V8" s="9" t="n">
        <v>15</v>
      </c>
      <c r="W8" s="9"/>
      <c r="X8" s="9"/>
      <c r="Y8" s="9"/>
      <c r="Z8" s="9"/>
      <c r="AA8" s="12" t="n">
        <v>0.24</v>
      </c>
      <c r="AB8" s="12"/>
      <c r="AC8" s="12" t="n">
        <v>6.76</v>
      </c>
      <c r="AD8" s="12" t="n">
        <f aca="false">AC8*AA8</f>
        <v>1.6224</v>
      </c>
    </row>
    <row r="9" customFormat="false" ht="13.8" hidden="false" customHeight="false" outlineLevel="0" collapsed="false">
      <c r="A9" s="9" t="n">
        <v>8</v>
      </c>
      <c r="B9" s="9" t="s">
        <v>30</v>
      </c>
      <c r="C9" s="9" t="s">
        <v>47</v>
      </c>
      <c r="D9" s="9" t="s">
        <v>55</v>
      </c>
      <c r="E9" s="9" t="s">
        <v>49</v>
      </c>
      <c r="F9" s="9"/>
      <c r="G9" s="9" t="n">
        <v>54.01</v>
      </c>
      <c r="H9" s="9" t="s">
        <v>36</v>
      </c>
      <c r="I9" s="9"/>
      <c r="J9" s="9"/>
      <c r="K9" s="9" t="s">
        <v>50</v>
      </c>
      <c r="L9" s="10" t="s">
        <v>51</v>
      </c>
      <c r="M9" s="9" t="s">
        <v>52</v>
      </c>
      <c r="N9" s="11" t="s">
        <v>56</v>
      </c>
      <c r="O9" s="11" t="n">
        <v>8.408335</v>
      </c>
      <c r="P9" s="9" t="s">
        <v>39</v>
      </c>
      <c r="Q9" s="9" t="s">
        <v>53</v>
      </c>
      <c r="R9" s="9" t="s">
        <v>41</v>
      </c>
      <c r="S9" s="9" t="s">
        <v>49</v>
      </c>
      <c r="T9" s="9" t="s">
        <v>43</v>
      </c>
      <c r="U9" s="9" t="n">
        <v>8</v>
      </c>
      <c r="V9" s="9" t="n">
        <v>8</v>
      </c>
      <c r="W9" s="9"/>
      <c r="X9" s="9"/>
      <c r="Y9" s="9"/>
      <c r="Z9" s="9"/>
      <c r="AA9" s="12" t="n">
        <v>0.24</v>
      </c>
      <c r="AB9" s="12"/>
      <c r="AC9" s="12" t="n">
        <v>6.75125</v>
      </c>
      <c r="AD9" s="12" t="n">
        <f aca="false">AC9*AA9</f>
        <v>1.6203</v>
      </c>
    </row>
    <row r="10" customFormat="false" ht="13.8" hidden="false" customHeight="false" outlineLevel="0" collapsed="false">
      <c r="A10" s="9" t="n">
        <v>9</v>
      </c>
      <c r="B10" s="9" t="s">
        <v>30</v>
      </c>
      <c r="C10" s="9" t="s">
        <v>47</v>
      </c>
      <c r="D10" s="9" t="s">
        <v>57</v>
      </c>
      <c r="E10" s="9" t="s">
        <v>49</v>
      </c>
      <c r="F10" s="9"/>
      <c r="G10" s="9" t="n">
        <v>40.6</v>
      </c>
      <c r="H10" s="9" t="s">
        <v>36</v>
      </c>
      <c r="I10" s="9"/>
      <c r="J10" s="9"/>
      <c r="K10" s="9" t="s">
        <v>50</v>
      </c>
      <c r="L10" s="10" t="s">
        <v>51</v>
      </c>
      <c r="M10" s="9" t="s">
        <v>52</v>
      </c>
      <c r="N10" s="11" t="n">
        <v>9.066665</v>
      </c>
      <c r="O10" s="11" t="n">
        <v>8.408335</v>
      </c>
      <c r="P10" s="9" t="s">
        <v>39</v>
      </c>
      <c r="Q10" s="9" t="s">
        <v>53</v>
      </c>
      <c r="R10" s="9" t="s">
        <v>41</v>
      </c>
      <c r="S10" s="9" t="s">
        <v>49</v>
      </c>
      <c r="T10" s="9" t="s">
        <v>43</v>
      </c>
      <c r="U10" s="9" t="n">
        <v>30</v>
      </c>
      <c r="V10" s="9" t="n">
        <v>30</v>
      </c>
      <c r="W10" s="9"/>
      <c r="X10" s="9"/>
      <c r="Y10" s="9"/>
      <c r="Z10" s="9"/>
      <c r="AA10" s="12" t="n">
        <v>0.24</v>
      </c>
      <c r="AB10" s="12"/>
      <c r="AC10" s="12" t="n">
        <v>1.35333333333333</v>
      </c>
      <c r="AD10" s="12" t="n">
        <f aca="false">AC10*AA10</f>
        <v>0.3248</v>
      </c>
    </row>
    <row r="11" customFormat="false" ht="13.8" hidden="false" customHeight="false" outlineLevel="0" collapsed="false">
      <c r="A11" s="9" t="n">
        <v>10</v>
      </c>
      <c r="B11" s="9" t="s">
        <v>30</v>
      </c>
      <c r="C11" s="9" t="s">
        <v>47</v>
      </c>
      <c r="D11" s="9" t="s">
        <v>58</v>
      </c>
      <c r="E11" s="9" t="s">
        <v>49</v>
      </c>
      <c r="F11" s="9"/>
      <c r="G11" s="9" t="n">
        <v>240.47</v>
      </c>
      <c r="H11" s="9" t="s">
        <v>36</v>
      </c>
      <c r="I11" s="9"/>
      <c r="J11" s="9"/>
      <c r="K11" s="9" t="s">
        <v>50</v>
      </c>
      <c r="L11" s="10" t="s">
        <v>51</v>
      </c>
      <c r="M11" s="9" t="s">
        <v>52</v>
      </c>
      <c r="N11" s="11" t="n">
        <v>9.066665</v>
      </c>
      <c r="O11" s="11" t="n">
        <v>8.408335</v>
      </c>
      <c r="P11" s="9" t="s">
        <v>39</v>
      </c>
      <c r="Q11" s="9" t="s">
        <v>53</v>
      </c>
      <c r="R11" s="9" t="s">
        <v>41</v>
      </c>
      <c r="S11" s="9" t="s">
        <v>49</v>
      </c>
      <c r="T11" s="9" t="s">
        <v>43</v>
      </c>
      <c r="U11" s="9" t="n">
        <v>40</v>
      </c>
      <c r="V11" s="9" t="n">
        <v>40</v>
      </c>
      <c r="W11" s="9"/>
      <c r="X11" s="9"/>
      <c r="Y11" s="9"/>
      <c r="Z11" s="9"/>
      <c r="AA11" s="12" t="n">
        <v>0.24</v>
      </c>
      <c r="AB11" s="12"/>
      <c r="AC11" s="12" t="n">
        <v>6.01175</v>
      </c>
      <c r="AD11" s="12" t="n">
        <f aca="false">AC11*AA11</f>
        <v>1.44282</v>
      </c>
    </row>
    <row r="12" customFormat="false" ht="13.8" hidden="false" customHeight="false" outlineLevel="0" collapsed="false">
      <c r="A12" s="9" t="n">
        <v>11</v>
      </c>
      <c r="B12" s="9" t="s">
        <v>59</v>
      </c>
      <c r="C12" s="9" t="s">
        <v>60</v>
      </c>
      <c r="D12" s="9" t="s">
        <v>61</v>
      </c>
      <c r="E12" s="9" t="s">
        <v>62</v>
      </c>
      <c r="F12" s="9" t="s">
        <v>63</v>
      </c>
      <c r="G12" s="9" t="n">
        <v>8.2</v>
      </c>
      <c r="H12" s="9" t="s">
        <v>64</v>
      </c>
      <c r="I12" s="9" t="n">
        <f aca="false">G12*0.47</f>
        <v>3.854</v>
      </c>
      <c r="J12" s="9" t="s">
        <v>36</v>
      </c>
      <c r="K12" s="9" t="s">
        <v>65</v>
      </c>
      <c r="L12" s="10" t="n">
        <v>1995</v>
      </c>
      <c r="M12" s="9" t="s">
        <v>38</v>
      </c>
      <c r="N12" s="11" t="n">
        <v>6.2</v>
      </c>
      <c r="O12" s="11" t="s">
        <v>66</v>
      </c>
      <c r="P12" s="9" t="s">
        <v>39</v>
      </c>
      <c r="Q12" s="9" t="s">
        <v>53</v>
      </c>
      <c r="R12" s="9" t="s">
        <v>41</v>
      </c>
      <c r="S12" s="9" t="s">
        <v>67</v>
      </c>
      <c r="T12" s="9" t="s">
        <v>43</v>
      </c>
      <c r="U12" s="9" t="n">
        <v>7</v>
      </c>
      <c r="V12" s="9" t="n">
        <v>1</v>
      </c>
      <c r="W12" s="9" t="n">
        <f aca="false">(100/4)*(100/0.25)</f>
        <v>10000</v>
      </c>
      <c r="X12" s="9"/>
      <c r="Y12" s="9" t="n">
        <f aca="false">W12+X12</f>
        <v>10000</v>
      </c>
      <c r="Z12" s="9"/>
      <c r="AA12" s="12" t="n">
        <v>0.24</v>
      </c>
      <c r="AB12" s="12"/>
      <c r="AC12" s="12" t="n">
        <f aca="false">I12/V12</f>
        <v>3.854</v>
      </c>
      <c r="AD12" s="12" t="n">
        <f aca="false">(I12*AA12)/V12</f>
        <v>0.92496</v>
      </c>
    </row>
    <row r="13" customFormat="false" ht="13.8" hidden="false" customHeight="false" outlineLevel="0" collapsed="false">
      <c r="A13" s="9" t="n">
        <v>12</v>
      </c>
      <c r="B13" s="9" t="s">
        <v>59</v>
      </c>
      <c r="C13" s="9" t="s">
        <v>60</v>
      </c>
      <c r="D13" s="9" t="s">
        <v>68</v>
      </c>
      <c r="E13" s="9" t="s">
        <v>62</v>
      </c>
      <c r="F13" s="9" t="s">
        <v>63</v>
      </c>
      <c r="G13" s="9" t="n">
        <v>10</v>
      </c>
      <c r="H13" s="9" t="s">
        <v>64</v>
      </c>
      <c r="I13" s="9" t="n">
        <f aca="false">G13*0.47</f>
        <v>4.7</v>
      </c>
      <c r="J13" s="9" t="s">
        <v>36</v>
      </c>
      <c r="K13" s="9" t="s">
        <v>65</v>
      </c>
      <c r="L13" s="10" t="n">
        <v>1995</v>
      </c>
      <c r="M13" s="9" t="s">
        <v>38</v>
      </c>
      <c r="N13" s="11" t="n">
        <v>6.2</v>
      </c>
      <c r="O13" s="11" t="s">
        <v>66</v>
      </c>
      <c r="P13" s="9" t="s">
        <v>39</v>
      </c>
      <c r="Q13" s="9" t="s">
        <v>53</v>
      </c>
      <c r="R13" s="9" t="s">
        <v>41</v>
      </c>
      <c r="S13" s="9" t="s">
        <v>67</v>
      </c>
      <c r="T13" s="9" t="s">
        <v>43</v>
      </c>
      <c r="U13" s="9" t="n">
        <v>7</v>
      </c>
      <c r="V13" s="9" t="n">
        <v>1</v>
      </c>
      <c r="W13" s="9" t="n">
        <f aca="false">(100/4)*(100/0.25)</f>
        <v>10000</v>
      </c>
      <c r="X13" s="9"/>
      <c r="Y13" s="9" t="n">
        <f aca="false">W13+X13</f>
        <v>10000</v>
      </c>
      <c r="Z13" s="9"/>
      <c r="AA13" s="12" t="n">
        <v>0.24</v>
      </c>
      <c r="AB13" s="12"/>
      <c r="AC13" s="12" t="n">
        <f aca="false">I13/V13</f>
        <v>4.7</v>
      </c>
      <c r="AD13" s="12" t="n">
        <f aca="false">(I13*AA13)/V13</f>
        <v>1.128</v>
      </c>
    </row>
    <row r="14" customFormat="false" ht="13.8" hidden="false" customHeight="false" outlineLevel="0" collapsed="false">
      <c r="A14" s="9" t="n">
        <v>13</v>
      </c>
      <c r="B14" s="9" t="s">
        <v>59</v>
      </c>
      <c r="C14" s="9" t="s">
        <v>60</v>
      </c>
      <c r="D14" s="9" t="s">
        <v>69</v>
      </c>
      <c r="E14" s="9" t="s">
        <v>62</v>
      </c>
      <c r="F14" s="9" t="s">
        <v>63</v>
      </c>
      <c r="G14" s="9" t="n">
        <v>6.5</v>
      </c>
      <c r="H14" s="9" t="s">
        <v>64</v>
      </c>
      <c r="I14" s="9" t="n">
        <f aca="false">G14*0.47</f>
        <v>3.055</v>
      </c>
      <c r="J14" s="9" t="s">
        <v>36</v>
      </c>
      <c r="K14" s="9" t="s">
        <v>65</v>
      </c>
      <c r="L14" s="10" t="n">
        <v>1995</v>
      </c>
      <c r="M14" s="9" t="s">
        <v>38</v>
      </c>
      <c r="N14" s="11" t="n">
        <v>6.2</v>
      </c>
      <c r="O14" s="11" t="s">
        <v>66</v>
      </c>
      <c r="P14" s="9" t="s">
        <v>39</v>
      </c>
      <c r="Q14" s="9" t="s">
        <v>53</v>
      </c>
      <c r="R14" s="9" t="s">
        <v>41</v>
      </c>
      <c r="S14" s="9" t="s">
        <v>67</v>
      </c>
      <c r="T14" s="9" t="s">
        <v>43</v>
      </c>
      <c r="U14" s="9" t="n">
        <v>7</v>
      </c>
      <c r="V14" s="9" t="n">
        <v>1</v>
      </c>
      <c r="W14" s="9" t="n">
        <f aca="false">(100/4)*(100/0.25)</f>
        <v>10000</v>
      </c>
      <c r="X14" s="9"/>
      <c r="Y14" s="9" t="n">
        <f aca="false">W14+X14</f>
        <v>10000</v>
      </c>
      <c r="Z14" s="9"/>
      <c r="AA14" s="12" t="n">
        <v>0.24</v>
      </c>
      <c r="AB14" s="12"/>
      <c r="AC14" s="12" t="n">
        <f aca="false">I14/V14</f>
        <v>3.055</v>
      </c>
      <c r="AD14" s="12" t="n">
        <f aca="false">(I14*AA14)/V14</f>
        <v>0.7332</v>
      </c>
    </row>
    <row r="15" customFormat="false" ht="13.8" hidden="false" customHeight="false" outlineLevel="0" collapsed="false">
      <c r="A15" s="9" t="n">
        <v>14</v>
      </c>
      <c r="B15" s="9" t="s">
        <v>59</v>
      </c>
      <c r="C15" s="9" t="s">
        <v>60</v>
      </c>
      <c r="D15" s="9" t="s">
        <v>70</v>
      </c>
      <c r="E15" s="9" t="s">
        <v>62</v>
      </c>
      <c r="F15" s="9" t="s">
        <v>63</v>
      </c>
      <c r="G15" s="9" t="n">
        <v>2</v>
      </c>
      <c r="H15" s="9" t="s">
        <v>64</v>
      </c>
      <c r="I15" s="9" t="n">
        <f aca="false">G15*0.47</f>
        <v>0.94</v>
      </c>
      <c r="J15" s="9" t="s">
        <v>36</v>
      </c>
      <c r="K15" s="9" t="s">
        <v>65</v>
      </c>
      <c r="L15" s="10" t="n">
        <v>1995</v>
      </c>
      <c r="M15" s="9" t="s">
        <v>38</v>
      </c>
      <c r="N15" s="11" t="n">
        <v>6.2</v>
      </c>
      <c r="O15" s="11" t="s">
        <v>66</v>
      </c>
      <c r="P15" s="9" t="s">
        <v>39</v>
      </c>
      <c r="Q15" s="9" t="s">
        <v>53</v>
      </c>
      <c r="R15" s="9" t="s">
        <v>41</v>
      </c>
      <c r="S15" s="9" t="s">
        <v>67</v>
      </c>
      <c r="T15" s="9" t="s">
        <v>43</v>
      </c>
      <c r="U15" s="9" t="n">
        <v>7</v>
      </c>
      <c r="V15" s="9" t="n">
        <v>1</v>
      </c>
      <c r="W15" s="9" t="n">
        <f aca="false">(100/4)*(100/0.25)</f>
        <v>10000</v>
      </c>
      <c r="X15" s="9"/>
      <c r="Y15" s="9" t="n">
        <f aca="false">W15+X15</f>
        <v>10000</v>
      </c>
      <c r="Z15" s="9"/>
      <c r="AA15" s="12" t="n">
        <v>0.24</v>
      </c>
      <c r="AB15" s="12"/>
      <c r="AC15" s="12" t="n">
        <f aca="false">I15/V15</f>
        <v>0.94</v>
      </c>
      <c r="AD15" s="12" t="n">
        <f aca="false">(I15*AA15)/V15</f>
        <v>0.2256</v>
      </c>
    </row>
    <row r="16" customFormat="false" ht="13.8" hidden="false" customHeight="false" outlineLevel="0" collapsed="false">
      <c r="A16" s="9" t="n">
        <v>15</v>
      </c>
      <c r="B16" s="9" t="s">
        <v>59</v>
      </c>
      <c r="C16" s="9" t="s">
        <v>60</v>
      </c>
      <c r="D16" s="9" t="s">
        <v>71</v>
      </c>
      <c r="E16" s="9" t="s">
        <v>62</v>
      </c>
      <c r="F16" s="9" t="s">
        <v>63</v>
      </c>
      <c r="G16" s="9" t="n">
        <v>14</v>
      </c>
      <c r="H16" s="9" t="s">
        <v>64</v>
      </c>
      <c r="I16" s="9" t="n">
        <f aca="false">G16*0.47</f>
        <v>6.58</v>
      </c>
      <c r="J16" s="9" t="s">
        <v>36</v>
      </c>
      <c r="K16" s="9" t="s">
        <v>65</v>
      </c>
      <c r="L16" s="10" t="n">
        <v>1995</v>
      </c>
      <c r="M16" s="9" t="s">
        <v>38</v>
      </c>
      <c r="N16" s="11" t="n">
        <v>6.2</v>
      </c>
      <c r="O16" s="11" t="s">
        <v>66</v>
      </c>
      <c r="P16" s="9" t="s">
        <v>39</v>
      </c>
      <c r="Q16" s="9" t="s">
        <v>53</v>
      </c>
      <c r="R16" s="9" t="s">
        <v>41</v>
      </c>
      <c r="S16" s="9" t="s">
        <v>67</v>
      </c>
      <c r="T16" s="9" t="s">
        <v>43</v>
      </c>
      <c r="U16" s="9" t="n">
        <v>7</v>
      </c>
      <c r="V16" s="9" t="n">
        <v>1</v>
      </c>
      <c r="W16" s="9" t="n">
        <f aca="false">(100/4)*(100/0.25)</f>
        <v>10000</v>
      </c>
      <c r="X16" s="9"/>
      <c r="Y16" s="9" t="n">
        <f aca="false">W16+X16</f>
        <v>10000</v>
      </c>
      <c r="Z16" s="9"/>
      <c r="AA16" s="12" t="n">
        <v>0.24</v>
      </c>
      <c r="AB16" s="12"/>
      <c r="AC16" s="12" t="n">
        <f aca="false">I16/V16</f>
        <v>6.58</v>
      </c>
      <c r="AD16" s="12" t="n">
        <f aca="false">(I16*AA16)/V16</f>
        <v>1.5792</v>
      </c>
    </row>
    <row r="17" customFormat="false" ht="13.8" hidden="false" customHeight="false" outlineLevel="0" collapsed="false">
      <c r="A17" s="9" t="n">
        <v>16</v>
      </c>
      <c r="B17" s="9" t="s">
        <v>59</v>
      </c>
      <c r="C17" s="9" t="s">
        <v>60</v>
      </c>
      <c r="D17" s="9" t="s">
        <v>72</v>
      </c>
      <c r="E17" s="9" t="s">
        <v>62</v>
      </c>
      <c r="F17" s="9" t="s">
        <v>63</v>
      </c>
      <c r="G17" s="9" t="n">
        <v>6.2</v>
      </c>
      <c r="H17" s="9" t="s">
        <v>64</v>
      </c>
      <c r="I17" s="9" t="n">
        <f aca="false">G17*0.47</f>
        <v>2.914</v>
      </c>
      <c r="J17" s="9" t="s">
        <v>36</v>
      </c>
      <c r="K17" s="9" t="s">
        <v>65</v>
      </c>
      <c r="L17" s="10" t="n">
        <v>1995</v>
      </c>
      <c r="M17" s="9" t="s">
        <v>38</v>
      </c>
      <c r="N17" s="11" t="n">
        <v>6.2</v>
      </c>
      <c r="O17" s="11" t="s">
        <v>66</v>
      </c>
      <c r="P17" s="9" t="s">
        <v>39</v>
      </c>
      <c r="Q17" s="9" t="s">
        <v>53</v>
      </c>
      <c r="R17" s="9" t="s">
        <v>41</v>
      </c>
      <c r="S17" s="9" t="s">
        <v>67</v>
      </c>
      <c r="T17" s="9" t="s">
        <v>43</v>
      </c>
      <c r="U17" s="9" t="n">
        <v>7</v>
      </c>
      <c r="V17" s="9" t="n">
        <v>1</v>
      </c>
      <c r="W17" s="9" t="n">
        <f aca="false">(100/4)*(100/0.25)</f>
        <v>10000</v>
      </c>
      <c r="X17" s="9"/>
      <c r="Y17" s="9" t="n">
        <f aca="false">W17+X17</f>
        <v>10000</v>
      </c>
      <c r="Z17" s="9"/>
      <c r="AA17" s="12" t="n">
        <v>0.24</v>
      </c>
      <c r="AB17" s="12"/>
      <c r="AC17" s="12" t="n">
        <f aca="false">I17/V17</f>
        <v>2.914</v>
      </c>
      <c r="AD17" s="12" t="n">
        <f aca="false">(I17*AA17)/V17</f>
        <v>0.69936</v>
      </c>
    </row>
    <row r="18" customFormat="false" ht="13.8" hidden="false" customHeight="false" outlineLevel="0" collapsed="false">
      <c r="A18" s="9" t="n">
        <v>17</v>
      </c>
      <c r="B18" s="9" t="s">
        <v>30</v>
      </c>
      <c r="C18" s="9" t="s">
        <v>73</v>
      </c>
      <c r="D18" s="9" t="s">
        <v>74</v>
      </c>
      <c r="E18" s="9" t="s">
        <v>75</v>
      </c>
      <c r="F18" s="9"/>
      <c r="G18" s="9" t="n">
        <v>8.5</v>
      </c>
      <c r="H18" s="9" t="s">
        <v>64</v>
      </c>
      <c r="I18" s="12" t="n">
        <f aca="false">G18*0.47</f>
        <v>3.995</v>
      </c>
      <c r="J18" s="9" t="s">
        <v>36</v>
      </c>
      <c r="K18" s="9" t="s">
        <v>76</v>
      </c>
      <c r="L18" s="10" t="n">
        <v>2000</v>
      </c>
      <c r="M18" s="9" t="s">
        <v>77</v>
      </c>
      <c r="N18" s="11" t="n">
        <v>-0.178719</v>
      </c>
      <c r="O18" s="11" t="n">
        <v>35.469264</v>
      </c>
      <c r="P18" s="9" t="s">
        <v>39</v>
      </c>
      <c r="Q18" s="9" t="s">
        <v>40</v>
      </c>
      <c r="R18" s="9" t="s">
        <v>41</v>
      </c>
      <c r="S18" s="9" t="s">
        <v>78</v>
      </c>
      <c r="T18" s="9" t="s">
        <v>43</v>
      </c>
      <c r="U18" s="9" t="n">
        <v>1</v>
      </c>
      <c r="V18" s="9" t="n">
        <v>1</v>
      </c>
      <c r="W18" s="9"/>
      <c r="X18" s="9"/>
      <c r="Y18" s="9"/>
      <c r="Z18" s="9"/>
      <c r="AA18" s="12" t="n">
        <f aca="false">AB18/I18</f>
        <v>0.317647058823529</v>
      </c>
      <c r="AB18" s="12" t="n">
        <f aca="false">2.7*0.47</f>
        <v>1.269</v>
      </c>
      <c r="AC18" s="12" t="n">
        <f aca="false">I18/V18</f>
        <v>3.995</v>
      </c>
      <c r="AD18" s="12" t="n">
        <f aca="false">AB18/V18</f>
        <v>1.269</v>
      </c>
    </row>
    <row r="19" customFormat="false" ht="13.8" hidden="false" customHeight="false" outlineLevel="0" collapsed="false">
      <c r="A19" s="9" t="n">
        <v>18</v>
      </c>
      <c r="B19" s="9" t="s">
        <v>30</v>
      </c>
      <c r="C19" s="9" t="s">
        <v>73</v>
      </c>
      <c r="D19" s="9" t="s">
        <v>79</v>
      </c>
      <c r="E19" s="9" t="s">
        <v>75</v>
      </c>
      <c r="F19" s="9"/>
      <c r="G19" s="9" t="n">
        <v>21</v>
      </c>
      <c r="H19" s="9" t="s">
        <v>64</v>
      </c>
      <c r="I19" s="12" t="n">
        <f aca="false">G19*0.47</f>
        <v>9.87</v>
      </c>
      <c r="J19" s="9" t="s">
        <v>36</v>
      </c>
      <c r="K19" s="9" t="s">
        <v>76</v>
      </c>
      <c r="L19" s="10" t="n">
        <v>2000</v>
      </c>
      <c r="M19" s="9" t="s">
        <v>77</v>
      </c>
      <c r="N19" s="11" t="n">
        <v>-0.178719</v>
      </c>
      <c r="O19" s="11" t="n">
        <v>35.469264</v>
      </c>
      <c r="P19" s="9" t="s">
        <v>39</v>
      </c>
      <c r="Q19" s="9" t="s">
        <v>40</v>
      </c>
      <c r="R19" s="9" t="s">
        <v>41</v>
      </c>
      <c r="S19" s="9" t="s">
        <v>78</v>
      </c>
      <c r="T19" s="9" t="s">
        <v>43</v>
      </c>
      <c r="U19" s="9" t="n">
        <v>1</v>
      </c>
      <c r="V19" s="9" t="n">
        <v>1</v>
      </c>
      <c r="W19" s="9"/>
      <c r="X19" s="9"/>
      <c r="Y19" s="9"/>
      <c r="Z19" s="9"/>
      <c r="AA19" s="12" t="n">
        <f aca="false">AB19/I19</f>
        <v>0.333333333333333</v>
      </c>
      <c r="AB19" s="12" t="n">
        <f aca="false">7*0.47</f>
        <v>3.29</v>
      </c>
      <c r="AC19" s="12" t="n">
        <f aca="false">I19/V19</f>
        <v>9.87</v>
      </c>
      <c r="AD19" s="12" t="n">
        <f aca="false">AB19/V19</f>
        <v>3.29</v>
      </c>
    </row>
    <row r="20" customFormat="false" ht="13.8" hidden="false" customHeight="false" outlineLevel="0" collapsed="false">
      <c r="A20" s="9" t="n">
        <v>19</v>
      </c>
      <c r="B20" s="9" t="s">
        <v>30</v>
      </c>
      <c r="C20" s="9" t="s">
        <v>73</v>
      </c>
      <c r="D20" s="9" t="s">
        <v>80</v>
      </c>
      <c r="E20" s="9" t="s">
        <v>75</v>
      </c>
      <c r="F20" s="9"/>
      <c r="G20" s="9" t="n">
        <v>8.5</v>
      </c>
      <c r="H20" s="9" t="s">
        <v>64</v>
      </c>
      <c r="I20" s="12" t="n">
        <f aca="false">G20*0.47</f>
        <v>3.995</v>
      </c>
      <c r="J20" s="9" t="s">
        <v>36</v>
      </c>
      <c r="K20" s="9" t="s">
        <v>76</v>
      </c>
      <c r="L20" s="10" t="n">
        <v>2000</v>
      </c>
      <c r="M20" s="9" t="s">
        <v>77</v>
      </c>
      <c r="N20" s="11" t="n">
        <v>-0.178719</v>
      </c>
      <c r="O20" s="11" t="n">
        <v>35.469264</v>
      </c>
      <c r="P20" s="9" t="s">
        <v>39</v>
      </c>
      <c r="Q20" s="9" t="s">
        <v>40</v>
      </c>
      <c r="R20" s="9" t="s">
        <v>41</v>
      </c>
      <c r="S20" s="9" t="s">
        <v>78</v>
      </c>
      <c r="T20" s="9" t="s">
        <v>43</v>
      </c>
      <c r="U20" s="9" t="n">
        <v>1</v>
      </c>
      <c r="V20" s="9" t="n">
        <v>1</v>
      </c>
      <c r="W20" s="9"/>
      <c r="X20" s="9"/>
      <c r="Y20" s="9"/>
      <c r="Z20" s="9"/>
      <c r="AA20" s="12" t="n">
        <f aca="false">AB20/I20</f>
        <v>0.458823529411765</v>
      </c>
      <c r="AB20" s="12" t="n">
        <f aca="false">3.9*0.47</f>
        <v>1.833</v>
      </c>
      <c r="AC20" s="12" t="n">
        <f aca="false">I20/V20</f>
        <v>3.995</v>
      </c>
      <c r="AD20" s="12" t="n">
        <f aca="false">AB20/V20</f>
        <v>1.833</v>
      </c>
    </row>
    <row r="21" customFormat="false" ht="13.8" hidden="false" customHeight="false" outlineLevel="0" collapsed="false">
      <c r="A21" s="9" t="n">
        <v>20</v>
      </c>
      <c r="B21" s="9" t="s">
        <v>30</v>
      </c>
      <c r="C21" s="9" t="s">
        <v>73</v>
      </c>
      <c r="D21" s="9" t="s">
        <v>81</v>
      </c>
      <c r="E21" s="9" t="s">
        <v>75</v>
      </c>
      <c r="F21" s="9"/>
      <c r="G21" s="9" t="n">
        <v>7</v>
      </c>
      <c r="H21" s="9" t="s">
        <v>64</v>
      </c>
      <c r="I21" s="12" t="n">
        <f aca="false">G21*0.47</f>
        <v>3.29</v>
      </c>
      <c r="J21" s="9" t="s">
        <v>36</v>
      </c>
      <c r="K21" s="9" t="s">
        <v>76</v>
      </c>
      <c r="L21" s="10" t="n">
        <v>2000</v>
      </c>
      <c r="M21" s="9" t="s">
        <v>77</v>
      </c>
      <c r="N21" s="11" t="n">
        <v>-0.178719</v>
      </c>
      <c r="O21" s="11" t="n">
        <v>35.469264</v>
      </c>
      <c r="P21" s="9" t="s">
        <v>39</v>
      </c>
      <c r="Q21" s="9" t="s">
        <v>40</v>
      </c>
      <c r="R21" s="9" t="s">
        <v>41</v>
      </c>
      <c r="S21" s="9" t="s">
        <v>78</v>
      </c>
      <c r="T21" s="9" t="s">
        <v>43</v>
      </c>
      <c r="U21" s="9" t="n">
        <v>1</v>
      </c>
      <c r="V21" s="9" t="n">
        <v>1</v>
      </c>
      <c r="W21" s="9"/>
      <c r="X21" s="9"/>
      <c r="Y21" s="9"/>
      <c r="Z21" s="9"/>
      <c r="AA21" s="12" t="n">
        <f aca="false">AB21/I21</f>
        <v>0.685714285714286</v>
      </c>
      <c r="AB21" s="12" t="n">
        <f aca="false">4.8*0.47</f>
        <v>2.256</v>
      </c>
      <c r="AC21" s="12" t="n">
        <f aca="false">I21/V21</f>
        <v>3.29</v>
      </c>
      <c r="AD21" s="12" t="n">
        <f aca="false">AB21/V21</f>
        <v>2.256</v>
      </c>
    </row>
    <row r="22" customFormat="false" ht="13.8" hidden="false" customHeight="false" outlineLevel="0" collapsed="false">
      <c r="A22" s="9" t="n">
        <v>21</v>
      </c>
      <c r="B22" s="9" t="s">
        <v>30</v>
      </c>
      <c r="C22" s="9" t="s">
        <v>73</v>
      </c>
      <c r="D22" s="9" t="s">
        <v>82</v>
      </c>
      <c r="E22" s="9" t="s">
        <v>75</v>
      </c>
      <c r="F22" s="9"/>
      <c r="G22" s="9" t="n">
        <v>14.2</v>
      </c>
      <c r="H22" s="9" t="s">
        <v>64</v>
      </c>
      <c r="I22" s="12" t="n">
        <f aca="false">G22*0.47</f>
        <v>6.674</v>
      </c>
      <c r="J22" s="9" t="s">
        <v>36</v>
      </c>
      <c r="K22" s="9" t="s">
        <v>76</v>
      </c>
      <c r="L22" s="10" t="n">
        <v>2000</v>
      </c>
      <c r="M22" s="9" t="s">
        <v>77</v>
      </c>
      <c r="N22" s="11" t="n">
        <v>-0.178719</v>
      </c>
      <c r="O22" s="11" t="n">
        <v>35.469264</v>
      </c>
      <c r="P22" s="9" t="s">
        <v>39</v>
      </c>
      <c r="Q22" s="9" t="s">
        <v>40</v>
      </c>
      <c r="R22" s="9" t="s">
        <v>41</v>
      </c>
      <c r="S22" s="9" t="s">
        <v>78</v>
      </c>
      <c r="T22" s="9" t="s">
        <v>43</v>
      </c>
      <c r="U22" s="9" t="n">
        <v>1</v>
      </c>
      <c r="V22" s="9" t="n">
        <v>1</v>
      </c>
      <c r="W22" s="9"/>
      <c r="X22" s="9"/>
      <c r="Y22" s="9"/>
      <c r="Z22" s="9"/>
      <c r="AA22" s="12" t="n">
        <f aca="false">AB22/I22</f>
        <v>0.514084507042254</v>
      </c>
      <c r="AB22" s="12" t="n">
        <f aca="false">7.3*0.47</f>
        <v>3.431</v>
      </c>
      <c r="AC22" s="12" t="n">
        <f aca="false">I22/V22</f>
        <v>6.674</v>
      </c>
      <c r="AD22" s="12" t="n">
        <f aca="false">AB22/V22</f>
        <v>3.431</v>
      </c>
    </row>
    <row r="23" customFormat="false" ht="13.8" hidden="false" customHeight="false" outlineLevel="0" collapsed="false">
      <c r="A23" s="9" t="n">
        <v>22</v>
      </c>
      <c r="B23" s="9" t="s">
        <v>30</v>
      </c>
      <c r="C23" s="9" t="s">
        <v>73</v>
      </c>
      <c r="D23" s="9" t="s">
        <v>83</v>
      </c>
      <c r="E23" s="9" t="s">
        <v>75</v>
      </c>
      <c r="F23" s="9"/>
      <c r="G23" s="9" t="n">
        <v>10.8</v>
      </c>
      <c r="H23" s="9" t="s">
        <v>64</v>
      </c>
      <c r="I23" s="12" t="n">
        <f aca="false">G23*0.47</f>
        <v>5.076</v>
      </c>
      <c r="J23" s="9" t="s">
        <v>36</v>
      </c>
      <c r="K23" s="9" t="s">
        <v>76</v>
      </c>
      <c r="L23" s="10" t="n">
        <v>2000</v>
      </c>
      <c r="M23" s="9" t="s">
        <v>77</v>
      </c>
      <c r="N23" s="11" t="n">
        <v>-0.178719</v>
      </c>
      <c r="O23" s="11" t="n">
        <v>35.469264</v>
      </c>
      <c r="P23" s="9" t="s">
        <v>39</v>
      </c>
      <c r="Q23" s="9" t="s">
        <v>40</v>
      </c>
      <c r="R23" s="9" t="s">
        <v>41</v>
      </c>
      <c r="S23" s="9" t="s">
        <v>78</v>
      </c>
      <c r="T23" s="9" t="s">
        <v>43</v>
      </c>
      <c r="U23" s="9" t="n">
        <v>1</v>
      </c>
      <c r="V23" s="9" t="n">
        <v>1</v>
      </c>
      <c r="W23" s="9"/>
      <c r="X23" s="9"/>
      <c r="Y23" s="9"/>
      <c r="Z23" s="9"/>
      <c r="AA23" s="12" t="n">
        <f aca="false">AB23/I23</f>
        <v>0.37037037037037</v>
      </c>
      <c r="AB23" s="12" t="n">
        <f aca="false">4*0.47</f>
        <v>1.88</v>
      </c>
      <c r="AC23" s="12" t="n">
        <f aca="false">I23/V23</f>
        <v>5.076</v>
      </c>
      <c r="AD23" s="12" t="n">
        <f aca="false">AB23/V23</f>
        <v>1.88</v>
      </c>
    </row>
    <row r="24" customFormat="false" ht="13.8" hidden="false" customHeight="false" outlineLevel="0" collapsed="false">
      <c r="A24" s="9" t="n">
        <v>23</v>
      </c>
      <c r="B24" s="9" t="s">
        <v>30</v>
      </c>
      <c r="C24" s="9" t="s">
        <v>73</v>
      </c>
      <c r="D24" s="9" t="s">
        <v>84</v>
      </c>
      <c r="E24" s="9" t="s">
        <v>75</v>
      </c>
      <c r="F24" s="9"/>
      <c r="G24" s="9" t="n">
        <v>24.7</v>
      </c>
      <c r="H24" s="9" t="s">
        <v>64</v>
      </c>
      <c r="I24" s="12" t="n">
        <f aca="false">G24*0.47</f>
        <v>11.609</v>
      </c>
      <c r="J24" s="9" t="s">
        <v>36</v>
      </c>
      <c r="K24" s="9" t="s">
        <v>76</v>
      </c>
      <c r="L24" s="10" t="n">
        <v>2000</v>
      </c>
      <c r="M24" s="9" t="s">
        <v>77</v>
      </c>
      <c r="N24" s="11" t="n">
        <v>-0.178719</v>
      </c>
      <c r="O24" s="11" t="n">
        <v>35.469264</v>
      </c>
      <c r="P24" s="9" t="s">
        <v>39</v>
      </c>
      <c r="Q24" s="9" t="s">
        <v>40</v>
      </c>
      <c r="R24" s="9" t="s">
        <v>41</v>
      </c>
      <c r="S24" s="9" t="s">
        <v>78</v>
      </c>
      <c r="T24" s="9" t="s">
        <v>43</v>
      </c>
      <c r="U24" s="9" t="n">
        <v>1.5</v>
      </c>
      <c r="V24" s="9" t="n">
        <v>1.5</v>
      </c>
      <c r="W24" s="9"/>
      <c r="X24" s="9"/>
      <c r="Y24" s="9"/>
      <c r="Z24" s="9"/>
      <c r="AA24" s="12" t="n">
        <f aca="false">AB24/I24</f>
        <v>0.441295546558705</v>
      </c>
      <c r="AB24" s="12" t="n">
        <f aca="false">10.9*0.47</f>
        <v>5.123</v>
      </c>
      <c r="AC24" s="12" t="n">
        <f aca="false">I24/V24</f>
        <v>7.73933333333333</v>
      </c>
      <c r="AD24" s="12" t="n">
        <f aca="false">AB24/V24</f>
        <v>3.41533333333333</v>
      </c>
    </row>
    <row r="25" customFormat="false" ht="13.8" hidden="false" customHeight="false" outlineLevel="0" collapsed="false">
      <c r="A25" s="9" t="n">
        <v>24</v>
      </c>
      <c r="B25" s="9" t="s">
        <v>30</v>
      </c>
      <c r="C25" s="9" t="s">
        <v>73</v>
      </c>
      <c r="D25" s="9" t="s">
        <v>85</v>
      </c>
      <c r="E25" s="9" t="s">
        <v>75</v>
      </c>
      <c r="F25" s="9"/>
      <c r="G25" s="9" t="n">
        <v>19.8</v>
      </c>
      <c r="H25" s="9" t="s">
        <v>64</v>
      </c>
      <c r="I25" s="12" t="n">
        <f aca="false">G25*0.47</f>
        <v>9.306</v>
      </c>
      <c r="J25" s="9" t="s">
        <v>36</v>
      </c>
      <c r="K25" s="9" t="s">
        <v>76</v>
      </c>
      <c r="L25" s="10" t="n">
        <v>2000</v>
      </c>
      <c r="M25" s="9" t="s">
        <v>77</v>
      </c>
      <c r="N25" s="11" t="n">
        <v>-0.178719</v>
      </c>
      <c r="O25" s="11" t="n">
        <v>35.469264</v>
      </c>
      <c r="P25" s="9" t="s">
        <v>39</v>
      </c>
      <c r="Q25" s="9" t="s">
        <v>40</v>
      </c>
      <c r="R25" s="9" t="s">
        <v>41</v>
      </c>
      <c r="S25" s="9" t="s">
        <v>78</v>
      </c>
      <c r="T25" s="9" t="s">
        <v>43</v>
      </c>
      <c r="U25" s="9" t="n">
        <v>1.5</v>
      </c>
      <c r="V25" s="9" t="n">
        <v>1.5</v>
      </c>
      <c r="W25" s="9"/>
      <c r="X25" s="9"/>
      <c r="Y25" s="9"/>
      <c r="Z25" s="9"/>
      <c r="AA25" s="12" t="n">
        <f aca="false">AB25/I25</f>
        <v>0.686868686868687</v>
      </c>
      <c r="AB25" s="12" t="n">
        <f aca="false">13.6*0.47</f>
        <v>6.392</v>
      </c>
      <c r="AC25" s="12" t="n">
        <f aca="false">I25/V25</f>
        <v>6.204</v>
      </c>
      <c r="AD25" s="12" t="n">
        <f aca="false">AB25/V25</f>
        <v>4.26133333333333</v>
      </c>
    </row>
    <row r="26" customFormat="false" ht="13.8" hidden="false" customHeight="false" outlineLevel="0" collapsed="false">
      <c r="A26" s="9" t="n">
        <v>25</v>
      </c>
      <c r="B26" s="9" t="s">
        <v>30</v>
      </c>
      <c r="C26" s="9" t="s">
        <v>73</v>
      </c>
      <c r="D26" s="9" t="s">
        <v>86</v>
      </c>
      <c r="E26" s="9" t="s">
        <v>75</v>
      </c>
      <c r="F26" s="9"/>
      <c r="G26" s="9" t="n">
        <v>31</v>
      </c>
      <c r="H26" s="9" t="s">
        <v>64</v>
      </c>
      <c r="I26" s="12" t="n">
        <f aca="false">G26*0.47</f>
        <v>14.57</v>
      </c>
      <c r="J26" s="9" t="s">
        <v>36</v>
      </c>
      <c r="K26" s="9" t="s">
        <v>76</v>
      </c>
      <c r="L26" s="10" t="n">
        <v>2000</v>
      </c>
      <c r="M26" s="9" t="s">
        <v>77</v>
      </c>
      <c r="N26" s="11" t="n">
        <v>-0.178719</v>
      </c>
      <c r="O26" s="11" t="n">
        <v>35.469264</v>
      </c>
      <c r="P26" s="9" t="s">
        <v>39</v>
      </c>
      <c r="Q26" s="9" t="s">
        <v>40</v>
      </c>
      <c r="R26" s="9" t="s">
        <v>41</v>
      </c>
      <c r="S26" s="9" t="s">
        <v>78</v>
      </c>
      <c r="T26" s="9" t="s">
        <v>43</v>
      </c>
      <c r="U26" s="9" t="n">
        <v>1.5</v>
      </c>
      <c r="V26" s="9" t="n">
        <v>1.5</v>
      </c>
      <c r="W26" s="9"/>
      <c r="X26" s="9"/>
      <c r="Y26" s="9"/>
      <c r="Z26" s="9"/>
      <c r="AA26" s="12" t="n">
        <f aca="false">AB26/I26</f>
        <v>1.07096774193548</v>
      </c>
      <c r="AB26" s="12" t="n">
        <f aca="false">33.2*0.47</f>
        <v>15.604</v>
      </c>
      <c r="AC26" s="12" t="n">
        <f aca="false">I26/V26</f>
        <v>9.71333333333333</v>
      </c>
      <c r="AD26" s="12" t="n">
        <f aca="false">AB26/V26</f>
        <v>10.4026666666667</v>
      </c>
    </row>
    <row r="27" customFormat="false" ht="13.8" hidden="false" customHeight="false" outlineLevel="0" collapsed="false">
      <c r="A27" s="9" t="n">
        <v>26</v>
      </c>
      <c r="B27" s="9" t="s">
        <v>30</v>
      </c>
      <c r="C27" s="9" t="s">
        <v>73</v>
      </c>
      <c r="D27" s="9" t="s">
        <v>87</v>
      </c>
      <c r="E27" s="9" t="s">
        <v>75</v>
      </c>
      <c r="F27" s="9"/>
      <c r="G27" s="9" t="n">
        <v>27</v>
      </c>
      <c r="H27" s="9" t="s">
        <v>64</v>
      </c>
      <c r="I27" s="12" t="n">
        <f aca="false">G27*0.47</f>
        <v>12.69</v>
      </c>
      <c r="J27" s="9" t="s">
        <v>36</v>
      </c>
      <c r="K27" s="9" t="s">
        <v>76</v>
      </c>
      <c r="L27" s="10" t="n">
        <v>2000</v>
      </c>
      <c r="M27" s="9" t="s">
        <v>77</v>
      </c>
      <c r="N27" s="11" t="n">
        <v>-0.178719</v>
      </c>
      <c r="O27" s="11" t="n">
        <v>35.469264</v>
      </c>
      <c r="P27" s="9" t="s">
        <v>39</v>
      </c>
      <c r="Q27" s="9" t="s">
        <v>40</v>
      </c>
      <c r="R27" s="9" t="s">
        <v>41</v>
      </c>
      <c r="S27" s="9" t="s">
        <v>78</v>
      </c>
      <c r="T27" s="9" t="s">
        <v>43</v>
      </c>
      <c r="U27" s="9" t="n">
        <v>1.8</v>
      </c>
      <c r="V27" s="9" t="n">
        <v>1.8</v>
      </c>
      <c r="W27" s="9"/>
      <c r="X27" s="9"/>
      <c r="Y27" s="9"/>
      <c r="Z27" s="9"/>
      <c r="AA27" s="12" t="n">
        <f aca="false">AB27/I27</f>
        <v>0.574074074074074</v>
      </c>
      <c r="AB27" s="12" t="n">
        <f aca="false">15.5*0.47</f>
        <v>7.285</v>
      </c>
      <c r="AC27" s="12" t="n">
        <f aca="false">I27/V27</f>
        <v>7.05</v>
      </c>
      <c r="AD27" s="12" t="n">
        <f aca="false">AB27/V27</f>
        <v>4.04722222222222</v>
      </c>
    </row>
    <row r="28" customFormat="false" ht="13.8" hidden="false" customHeight="false" outlineLevel="0" collapsed="false">
      <c r="A28" s="9" t="n">
        <v>27</v>
      </c>
      <c r="B28" s="9" t="s">
        <v>30</v>
      </c>
      <c r="C28" s="9" t="s">
        <v>73</v>
      </c>
      <c r="D28" s="9" t="s">
        <v>88</v>
      </c>
      <c r="E28" s="9" t="s">
        <v>75</v>
      </c>
      <c r="F28" s="9"/>
      <c r="G28" s="9" t="n">
        <v>36.9</v>
      </c>
      <c r="H28" s="9" t="s">
        <v>64</v>
      </c>
      <c r="I28" s="12" t="n">
        <f aca="false">G28*0.47</f>
        <v>17.343</v>
      </c>
      <c r="J28" s="9" t="s">
        <v>36</v>
      </c>
      <c r="K28" s="9" t="s">
        <v>76</v>
      </c>
      <c r="L28" s="10" t="n">
        <v>2000</v>
      </c>
      <c r="M28" s="9" t="s">
        <v>77</v>
      </c>
      <c r="N28" s="11" t="n">
        <v>-0.178719</v>
      </c>
      <c r="O28" s="11" t="n">
        <v>35.469264</v>
      </c>
      <c r="P28" s="9" t="s">
        <v>39</v>
      </c>
      <c r="Q28" s="9" t="s">
        <v>40</v>
      </c>
      <c r="R28" s="9" t="s">
        <v>41</v>
      </c>
      <c r="S28" s="9" t="s">
        <v>78</v>
      </c>
      <c r="T28" s="9" t="s">
        <v>43</v>
      </c>
      <c r="U28" s="9" t="n">
        <v>1.8</v>
      </c>
      <c r="V28" s="9" t="n">
        <v>1.8</v>
      </c>
      <c r="W28" s="9"/>
      <c r="X28" s="9"/>
      <c r="Y28" s="9"/>
      <c r="Z28" s="9"/>
      <c r="AA28" s="12" t="n">
        <f aca="false">AB28/I28</f>
        <v>0.292682926829268</v>
      </c>
      <c r="AB28" s="12" t="n">
        <f aca="false">10.8*0.47</f>
        <v>5.076</v>
      </c>
      <c r="AC28" s="12" t="n">
        <f aca="false">I28/V28</f>
        <v>9.635</v>
      </c>
      <c r="AD28" s="12" t="n">
        <f aca="false">AB28/V28</f>
        <v>2.82</v>
      </c>
    </row>
    <row r="29" customFormat="false" ht="13.8" hidden="false" customHeight="false" outlineLevel="0" collapsed="false">
      <c r="A29" s="9" t="n">
        <v>28</v>
      </c>
      <c r="B29" s="9" t="s">
        <v>30</v>
      </c>
      <c r="C29" s="9" t="s">
        <v>73</v>
      </c>
      <c r="D29" s="9" t="s">
        <v>89</v>
      </c>
      <c r="E29" s="9" t="s">
        <v>75</v>
      </c>
      <c r="F29" s="9"/>
      <c r="G29" s="9" t="n">
        <v>32.6</v>
      </c>
      <c r="H29" s="9" t="s">
        <v>64</v>
      </c>
      <c r="I29" s="12" t="n">
        <f aca="false">G29*0.47</f>
        <v>15.322</v>
      </c>
      <c r="J29" s="9" t="s">
        <v>36</v>
      </c>
      <c r="K29" s="9" t="s">
        <v>76</v>
      </c>
      <c r="L29" s="10" t="n">
        <v>2000</v>
      </c>
      <c r="M29" s="9" t="s">
        <v>77</v>
      </c>
      <c r="N29" s="11" t="n">
        <v>-0.178719</v>
      </c>
      <c r="O29" s="11" t="n">
        <v>35.469264</v>
      </c>
      <c r="P29" s="9" t="s">
        <v>39</v>
      </c>
      <c r="Q29" s="9" t="s">
        <v>40</v>
      </c>
      <c r="R29" s="9" t="s">
        <v>41</v>
      </c>
      <c r="S29" s="9" t="s">
        <v>78</v>
      </c>
      <c r="T29" s="9" t="s">
        <v>43</v>
      </c>
      <c r="U29" s="9" t="n">
        <v>1.8</v>
      </c>
      <c r="V29" s="9" t="n">
        <v>1.8</v>
      </c>
      <c r="W29" s="9"/>
      <c r="X29" s="9"/>
      <c r="Y29" s="9"/>
      <c r="Z29" s="9"/>
      <c r="AA29" s="12" t="n">
        <f aca="false">AB29/I29</f>
        <v>0.542944785276074</v>
      </c>
      <c r="AB29" s="12" t="n">
        <f aca="false">17.7*0.47</f>
        <v>8.319</v>
      </c>
      <c r="AC29" s="12" t="n">
        <f aca="false">I29/V29</f>
        <v>8.51222222222222</v>
      </c>
      <c r="AD29" s="12" t="n">
        <f aca="false">AB29/V29</f>
        <v>4.62166666666667</v>
      </c>
    </row>
    <row r="30" customFormat="false" ht="13.8" hidden="false" customHeight="false" outlineLevel="0" collapsed="false">
      <c r="A30" s="9" t="n">
        <v>29</v>
      </c>
      <c r="B30" s="9" t="s">
        <v>30</v>
      </c>
      <c r="C30" s="9" t="s">
        <v>73</v>
      </c>
      <c r="D30" s="9" t="s">
        <v>90</v>
      </c>
      <c r="E30" s="9" t="s">
        <v>75</v>
      </c>
      <c r="F30" s="9"/>
      <c r="G30" s="9" t="n">
        <v>43.4</v>
      </c>
      <c r="H30" s="9" t="s">
        <v>64</v>
      </c>
      <c r="I30" s="12" t="n">
        <f aca="false">G30*0.47</f>
        <v>20.398</v>
      </c>
      <c r="J30" s="9" t="s">
        <v>36</v>
      </c>
      <c r="K30" s="9" t="s">
        <v>76</v>
      </c>
      <c r="L30" s="10" t="n">
        <v>2000</v>
      </c>
      <c r="M30" s="9" t="s">
        <v>77</v>
      </c>
      <c r="N30" s="11" t="n">
        <v>-0.178719</v>
      </c>
      <c r="O30" s="11" t="n">
        <v>35.469264</v>
      </c>
      <c r="P30" s="9" t="s">
        <v>39</v>
      </c>
      <c r="Q30" s="9" t="s">
        <v>40</v>
      </c>
      <c r="R30" s="9" t="s">
        <v>41</v>
      </c>
      <c r="S30" s="9" t="s">
        <v>78</v>
      </c>
      <c r="T30" s="9" t="s">
        <v>43</v>
      </c>
      <c r="U30" s="9" t="n">
        <v>1.8</v>
      </c>
      <c r="V30" s="9" t="n">
        <v>1.8</v>
      </c>
      <c r="W30" s="9"/>
      <c r="X30" s="9"/>
      <c r="Y30" s="9"/>
      <c r="Z30" s="9"/>
      <c r="AA30" s="12" t="n">
        <f aca="false">AB30/I30</f>
        <v>0.440092165898618</v>
      </c>
      <c r="AB30" s="12" t="n">
        <f aca="false">19.1*0.47</f>
        <v>8.977</v>
      </c>
      <c r="AC30" s="12" t="n">
        <f aca="false">I30/V30</f>
        <v>11.3322222222222</v>
      </c>
      <c r="AD30" s="12" t="n">
        <f aca="false">AB30/V30</f>
        <v>4.98722222222222</v>
      </c>
    </row>
    <row r="31" customFormat="false" ht="68.65" hidden="false" customHeight="false" outlineLevel="0" collapsed="false">
      <c r="A31" s="9" t="n">
        <v>30</v>
      </c>
      <c r="B31" s="9" t="s">
        <v>91</v>
      </c>
      <c r="C31" s="9" t="s">
        <v>92</v>
      </c>
      <c r="D31" s="9" t="s">
        <v>93</v>
      </c>
      <c r="E31" s="13" t="s">
        <v>94</v>
      </c>
      <c r="F31" s="9" t="s">
        <v>95</v>
      </c>
      <c r="G31" s="9" t="n">
        <v>96</v>
      </c>
      <c r="H31" s="9" t="s">
        <v>36</v>
      </c>
      <c r="I31" s="9"/>
      <c r="J31" s="9"/>
      <c r="K31" s="9" t="s">
        <v>96</v>
      </c>
      <c r="L31" s="10" t="n">
        <v>2012</v>
      </c>
      <c r="M31" s="9" t="s">
        <v>38</v>
      </c>
      <c r="N31" s="11" t="n">
        <v>56.883333</v>
      </c>
      <c r="O31" s="11" t="n">
        <v>-2.533333</v>
      </c>
      <c r="P31" s="9" t="s">
        <v>97</v>
      </c>
      <c r="Q31" s="9" t="s">
        <v>98</v>
      </c>
      <c r="R31" s="9" t="s">
        <v>99</v>
      </c>
      <c r="S31" s="9" t="s">
        <v>100</v>
      </c>
      <c r="T31" s="9" t="s">
        <v>101</v>
      </c>
      <c r="U31" s="9" t="n">
        <v>24</v>
      </c>
      <c r="V31" s="9" t="n">
        <v>24</v>
      </c>
      <c r="W31" s="9" t="n">
        <v>200</v>
      </c>
      <c r="X31" s="9"/>
      <c r="Y31" s="9" t="n">
        <f aca="false">W31+X31</f>
        <v>200</v>
      </c>
      <c r="Z31" s="9"/>
      <c r="AA31" s="12" t="n">
        <v>0.26</v>
      </c>
      <c r="AB31" s="12"/>
      <c r="AC31" s="12" t="n">
        <f aca="false">(G31/(1+AA31))/U31</f>
        <v>3.17460317460317</v>
      </c>
      <c r="AD31" s="12" t="n">
        <f aca="false">AC31*AA31</f>
        <v>0.825396825396825</v>
      </c>
    </row>
    <row r="32" customFormat="false" ht="68.65" hidden="false" customHeight="false" outlineLevel="0" collapsed="false">
      <c r="A32" s="9" t="n">
        <v>31</v>
      </c>
      <c r="B32" s="9" t="s">
        <v>91</v>
      </c>
      <c r="C32" s="9" t="s">
        <v>92</v>
      </c>
      <c r="D32" s="9" t="s">
        <v>102</v>
      </c>
      <c r="E32" s="13" t="s">
        <v>94</v>
      </c>
      <c r="F32" s="9" t="s">
        <v>95</v>
      </c>
      <c r="G32" s="9" t="n">
        <v>90</v>
      </c>
      <c r="H32" s="9" t="s">
        <v>36</v>
      </c>
      <c r="I32" s="9"/>
      <c r="J32" s="9"/>
      <c r="K32" s="9" t="s">
        <v>96</v>
      </c>
      <c r="L32" s="10" t="n">
        <v>2012</v>
      </c>
      <c r="M32" s="9" t="s">
        <v>38</v>
      </c>
      <c r="N32" s="11" t="n">
        <v>56.883333</v>
      </c>
      <c r="O32" s="11" t="n">
        <v>-2.533333</v>
      </c>
      <c r="P32" s="9" t="s">
        <v>97</v>
      </c>
      <c r="Q32" s="9" t="s">
        <v>98</v>
      </c>
      <c r="R32" s="9" t="s">
        <v>99</v>
      </c>
      <c r="S32" s="9" t="s">
        <v>100</v>
      </c>
      <c r="T32" s="9" t="s">
        <v>101</v>
      </c>
      <c r="U32" s="9" t="n">
        <v>24</v>
      </c>
      <c r="V32" s="9" t="n">
        <v>24</v>
      </c>
      <c r="W32" s="9" t="n">
        <v>100</v>
      </c>
      <c r="X32" s="9"/>
      <c r="Y32" s="9" t="n">
        <f aca="false">W32+X32</f>
        <v>100</v>
      </c>
      <c r="Z32" s="9"/>
      <c r="AA32" s="12" t="n">
        <v>0.26</v>
      </c>
      <c r="AB32" s="12"/>
      <c r="AC32" s="12" t="n">
        <f aca="false">(G32/(1+AA32))/U32</f>
        <v>2.97619047619048</v>
      </c>
      <c r="AD32" s="12" t="n">
        <f aca="false">AC32*AA32</f>
        <v>0.773809523809524</v>
      </c>
    </row>
    <row r="33" customFormat="false" ht="68.65" hidden="false" customHeight="false" outlineLevel="0" collapsed="false">
      <c r="A33" s="9" t="n">
        <v>32</v>
      </c>
      <c r="B33" s="9" t="s">
        <v>91</v>
      </c>
      <c r="C33" s="9" t="s">
        <v>92</v>
      </c>
      <c r="D33" s="9" t="s">
        <v>103</v>
      </c>
      <c r="E33" s="13" t="s">
        <v>94</v>
      </c>
      <c r="F33" s="9" t="s">
        <v>104</v>
      </c>
      <c r="G33" s="9" t="n">
        <v>34</v>
      </c>
      <c r="H33" s="9" t="s">
        <v>36</v>
      </c>
      <c r="I33" s="9"/>
      <c r="J33" s="9"/>
      <c r="K33" s="9" t="s">
        <v>96</v>
      </c>
      <c r="L33" s="10" t="n">
        <v>2012</v>
      </c>
      <c r="M33" s="9" t="s">
        <v>38</v>
      </c>
      <c r="N33" s="11" t="n">
        <v>56.883333</v>
      </c>
      <c r="O33" s="11" t="n">
        <v>-2.533333</v>
      </c>
      <c r="P33" s="9" t="s">
        <v>97</v>
      </c>
      <c r="Q33" s="9" t="s">
        <v>98</v>
      </c>
      <c r="R33" s="9" t="s">
        <v>99</v>
      </c>
      <c r="S33" s="9" t="s">
        <v>100</v>
      </c>
      <c r="T33" s="9" t="s">
        <v>101</v>
      </c>
      <c r="U33" s="9" t="n">
        <v>24</v>
      </c>
      <c r="V33" s="9" t="n">
        <v>24</v>
      </c>
      <c r="W33" s="9" t="n">
        <v>400</v>
      </c>
      <c r="X33" s="9"/>
      <c r="Y33" s="9" t="n">
        <f aca="false">W33+X33</f>
        <v>400</v>
      </c>
      <c r="Z33" s="9"/>
      <c r="AA33" s="12" t="n">
        <v>0.26</v>
      </c>
      <c r="AB33" s="12"/>
      <c r="AC33" s="12" t="n">
        <f aca="false">(G33/(1+AA33))/U33</f>
        <v>1.12433862433862</v>
      </c>
      <c r="AD33" s="12" t="n">
        <f aca="false">AC33*AA33</f>
        <v>0.292328042328042</v>
      </c>
    </row>
    <row r="34" customFormat="false" ht="13.8" hidden="false" customHeight="false" outlineLevel="0" collapsed="false">
      <c r="A34" s="9" t="n">
        <v>33</v>
      </c>
      <c r="B34" s="9" t="s">
        <v>30</v>
      </c>
      <c r="C34" s="9" t="s">
        <v>73</v>
      </c>
      <c r="D34" s="9" t="s">
        <v>105</v>
      </c>
      <c r="E34" s="9" t="s">
        <v>106</v>
      </c>
      <c r="F34" s="9" t="s">
        <v>107</v>
      </c>
      <c r="G34" s="9" t="s">
        <v>108</v>
      </c>
      <c r="H34" s="9" t="s">
        <v>36</v>
      </c>
      <c r="I34" s="9"/>
      <c r="J34" s="9"/>
      <c r="K34" s="9" t="s">
        <v>109</v>
      </c>
      <c r="L34" s="14" t="n">
        <v>2010</v>
      </c>
      <c r="M34" s="9" t="s">
        <v>38</v>
      </c>
      <c r="N34" s="11" t="n">
        <v>8.633333</v>
      </c>
      <c r="O34" s="11" t="n">
        <v>124.9167</v>
      </c>
      <c r="P34" s="9" t="s">
        <v>39</v>
      </c>
      <c r="Q34" s="9" t="s">
        <v>110</v>
      </c>
      <c r="R34" s="9" t="s">
        <v>41</v>
      </c>
      <c r="S34" s="9" t="s">
        <v>111</v>
      </c>
      <c r="T34" s="9" t="s">
        <v>112</v>
      </c>
      <c r="U34" s="9" t="n">
        <v>15</v>
      </c>
      <c r="V34" s="9" t="n">
        <v>15</v>
      </c>
      <c r="W34" s="9"/>
      <c r="X34" s="9"/>
      <c r="Y34" s="9"/>
      <c r="Z34" s="9" t="n">
        <v>55</v>
      </c>
      <c r="AA34" s="12" t="n">
        <v>0.24</v>
      </c>
      <c r="AB34" s="12"/>
      <c r="AC34" s="12" t="n">
        <v>3.78</v>
      </c>
      <c r="AD34" s="12" t="n">
        <v>0.9072</v>
      </c>
    </row>
    <row r="35" customFormat="false" ht="13.8" hidden="false" customHeight="false" outlineLevel="0" collapsed="false">
      <c r="A35" s="9" t="n">
        <v>34</v>
      </c>
      <c r="B35" s="9" t="s">
        <v>30</v>
      </c>
      <c r="C35" s="9" t="s">
        <v>73</v>
      </c>
      <c r="D35" s="9" t="s">
        <v>113</v>
      </c>
      <c r="E35" s="9" t="s">
        <v>106</v>
      </c>
      <c r="F35" s="9" t="s">
        <v>107</v>
      </c>
      <c r="G35" s="9" t="s">
        <v>114</v>
      </c>
      <c r="H35" s="9" t="s">
        <v>36</v>
      </c>
      <c r="I35" s="9"/>
      <c r="J35" s="9"/>
      <c r="K35" s="9" t="s">
        <v>109</v>
      </c>
      <c r="L35" s="14" t="n">
        <v>2010</v>
      </c>
      <c r="M35" s="9" t="s">
        <v>38</v>
      </c>
      <c r="N35" s="11" t="n">
        <v>8.633333</v>
      </c>
      <c r="O35" s="11" t="n">
        <v>124.9167</v>
      </c>
      <c r="P35" s="9" t="s">
        <v>39</v>
      </c>
      <c r="Q35" s="9" t="s">
        <v>110</v>
      </c>
      <c r="R35" s="9" t="s">
        <v>41</v>
      </c>
      <c r="S35" s="9" t="s">
        <v>111</v>
      </c>
      <c r="T35" s="9" t="s">
        <v>112</v>
      </c>
      <c r="U35" s="9" t="n">
        <v>25</v>
      </c>
      <c r="V35" s="9" t="n">
        <v>25</v>
      </c>
      <c r="W35" s="9"/>
      <c r="X35" s="9"/>
      <c r="Y35" s="9"/>
      <c r="Z35" s="9" t="n">
        <v>55</v>
      </c>
      <c r="AA35" s="12" t="n">
        <v>0.24</v>
      </c>
      <c r="AB35" s="12"/>
      <c r="AC35" s="12" t="n">
        <v>0.216</v>
      </c>
      <c r="AD35" s="12" t="n">
        <v>0.05184</v>
      </c>
    </row>
    <row r="36" customFormat="false" ht="13.8" hidden="false" customHeight="false" outlineLevel="0" collapsed="false">
      <c r="A36" s="9" t="n">
        <v>35</v>
      </c>
      <c r="B36" s="9" t="s">
        <v>30</v>
      </c>
      <c r="C36" s="9" t="s">
        <v>115</v>
      </c>
      <c r="D36" s="9" t="s">
        <v>116</v>
      </c>
      <c r="E36" s="9" t="s">
        <v>106</v>
      </c>
      <c r="F36" s="9" t="s">
        <v>107</v>
      </c>
      <c r="G36" s="9" t="s">
        <v>117</v>
      </c>
      <c r="H36" s="9" t="s">
        <v>36</v>
      </c>
      <c r="I36" s="9"/>
      <c r="J36" s="9"/>
      <c r="K36" s="9" t="s">
        <v>109</v>
      </c>
      <c r="L36" s="14" t="n">
        <v>2010</v>
      </c>
      <c r="M36" s="9" t="s">
        <v>38</v>
      </c>
      <c r="N36" s="11" t="n">
        <v>8.633333</v>
      </c>
      <c r="O36" s="11" t="n">
        <v>124.9167</v>
      </c>
      <c r="P36" s="9" t="s">
        <v>39</v>
      </c>
      <c r="Q36" s="9" t="s">
        <v>110</v>
      </c>
      <c r="R36" s="9" t="s">
        <v>41</v>
      </c>
      <c r="S36" s="9" t="s">
        <v>111</v>
      </c>
      <c r="T36" s="9" t="s">
        <v>112</v>
      </c>
      <c r="U36" s="9" t="n">
        <v>30</v>
      </c>
      <c r="V36" s="9" t="n">
        <v>30</v>
      </c>
      <c r="W36" s="9"/>
      <c r="X36" s="9"/>
      <c r="Y36" s="9"/>
      <c r="Z36" s="9" t="n">
        <v>55</v>
      </c>
      <c r="AA36" s="12" t="n">
        <v>0.24</v>
      </c>
      <c r="AB36" s="12"/>
      <c r="AC36" s="12" t="n">
        <v>2.84333333333333</v>
      </c>
      <c r="AD36" s="12" t="n">
        <v>0.6824</v>
      </c>
    </row>
    <row r="37" customFormat="false" ht="13.8" hidden="false" customHeight="false" outlineLevel="0" collapsed="false">
      <c r="A37" s="9" t="n">
        <v>36</v>
      </c>
      <c r="B37" s="9" t="s">
        <v>30</v>
      </c>
      <c r="C37" s="9" t="s">
        <v>115</v>
      </c>
      <c r="D37" s="9" t="s">
        <v>118</v>
      </c>
      <c r="E37" s="9" t="s">
        <v>106</v>
      </c>
      <c r="F37" s="9" t="s">
        <v>107</v>
      </c>
      <c r="G37" s="9" t="s">
        <v>119</v>
      </c>
      <c r="H37" s="9" t="s">
        <v>36</v>
      </c>
      <c r="I37" s="9"/>
      <c r="J37" s="9"/>
      <c r="K37" s="9" t="s">
        <v>109</v>
      </c>
      <c r="L37" s="14" t="n">
        <v>2010</v>
      </c>
      <c r="M37" s="9" t="s">
        <v>38</v>
      </c>
      <c r="N37" s="11" t="n">
        <v>8.633333</v>
      </c>
      <c r="O37" s="11" t="n">
        <v>124.9167</v>
      </c>
      <c r="P37" s="9" t="s">
        <v>39</v>
      </c>
      <c r="Q37" s="9" t="s">
        <v>110</v>
      </c>
      <c r="R37" s="9" t="s">
        <v>41</v>
      </c>
      <c r="S37" s="9" t="s">
        <v>111</v>
      </c>
      <c r="T37" s="9" t="s">
        <v>112</v>
      </c>
      <c r="U37" s="9" t="n">
        <v>4.7</v>
      </c>
      <c r="V37" s="9" t="n">
        <v>4.7</v>
      </c>
      <c r="W37" s="9"/>
      <c r="X37" s="9"/>
      <c r="Y37" s="9"/>
      <c r="Z37" s="9" t="n">
        <v>55</v>
      </c>
      <c r="AA37" s="12" t="n">
        <v>0.24</v>
      </c>
      <c r="AB37" s="12"/>
      <c r="AC37" s="12" t="n">
        <v>15.5106382978723</v>
      </c>
      <c r="AD37" s="12" t="n">
        <v>3.72255319148936</v>
      </c>
    </row>
    <row r="38" customFormat="false" ht="13.8" hidden="false" customHeight="false" outlineLevel="0" collapsed="false">
      <c r="A38" s="9" t="n">
        <v>37</v>
      </c>
      <c r="B38" s="9" t="s">
        <v>30</v>
      </c>
      <c r="C38" s="9" t="s">
        <v>115</v>
      </c>
      <c r="D38" s="9" t="s">
        <v>120</v>
      </c>
      <c r="E38" s="9" t="s">
        <v>106</v>
      </c>
      <c r="F38" s="9" t="s">
        <v>107</v>
      </c>
      <c r="G38" s="9" t="s">
        <v>121</v>
      </c>
      <c r="H38" s="9" t="s">
        <v>36</v>
      </c>
      <c r="I38" s="9"/>
      <c r="J38" s="9"/>
      <c r="K38" s="9" t="s">
        <v>109</v>
      </c>
      <c r="L38" s="14" t="n">
        <v>2010</v>
      </c>
      <c r="M38" s="9" t="s">
        <v>38</v>
      </c>
      <c r="N38" s="11" t="n">
        <v>8.633333</v>
      </c>
      <c r="O38" s="11" t="n">
        <v>124.9167</v>
      </c>
      <c r="P38" s="9" t="s">
        <v>39</v>
      </c>
      <c r="Q38" s="9" t="s">
        <v>110</v>
      </c>
      <c r="R38" s="9" t="s">
        <v>41</v>
      </c>
      <c r="S38" s="9" t="s">
        <v>111</v>
      </c>
      <c r="T38" s="9" t="s">
        <v>112</v>
      </c>
      <c r="U38" s="9" t="n">
        <v>8.3</v>
      </c>
      <c r="V38" s="9" t="n">
        <v>8.3</v>
      </c>
      <c r="W38" s="9"/>
      <c r="X38" s="9"/>
      <c r="Y38" s="9"/>
      <c r="Z38" s="9" t="n">
        <v>55</v>
      </c>
      <c r="AA38" s="12" t="n">
        <v>0.24</v>
      </c>
      <c r="AB38" s="12"/>
      <c r="AC38" s="12" t="n">
        <v>6.44578313253012</v>
      </c>
      <c r="AD38" s="12" t="n">
        <v>1.54698795180723</v>
      </c>
    </row>
    <row r="39" customFormat="false" ht="13.8" hidden="false" customHeight="false" outlineLevel="0" collapsed="false">
      <c r="A39" s="9" t="n">
        <v>38</v>
      </c>
      <c r="B39" s="9" t="s">
        <v>30</v>
      </c>
      <c r="C39" s="9" t="s">
        <v>115</v>
      </c>
      <c r="D39" s="9" t="s">
        <v>122</v>
      </c>
      <c r="E39" s="9" t="s">
        <v>106</v>
      </c>
      <c r="F39" s="9" t="s">
        <v>107</v>
      </c>
      <c r="G39" s="9" t="s">
        <v>123</v>
      </c>
      <c r="H39" s="9" t="s">
        <v>36</v>
      </c>
      <c r="I39" s="9"/>
      <c r="J39" s="9"/>
      <c r="K39" s="9" t="s">
        <v>109</v>
      </c>
      <c r="L39" s="14" t="n">
        <v>2010</v>
      </c>
      <c r="M39" s="9" t="s">
        <v>38</v>
      </c>
      <c r="N39" s="11" t="n">
        <v>8.633333</v>
      </c>
      <c r="O39" s="11" t="n">
        <v>124.9167</v>
      </c>
      <c r="P39" s="9" t="s">
        <v>39</v>
      </c>
      <c r="Q39" s="9" t="s">
        <v>110</v>
      </c>
      <c r="R39" s="9" t="s">
        <v>41</v>
      </c>
      <c r="S39" s="9" t="s">
        <v>111</v>
      </c>
      <c r="T39" s="9" t="s">
        <v>112</v>
      </c>
      <c r="U39" s="9" t="n">
        <v>10.5</v>
      </c>
      <c r="V39" s="9" t="n">
        <v>10.5</v>
      </c>
      <c r="W39" s="9"/>
      <c r="X39" s="9"/>
      <c r="Y39" s="9"/>
      <c r="Z39" s="9" t="n">
        <v>55</v>
      </c>
      <c r="AA39" s="12" t="n">
        <v>0.24</v>
      </c>
      <c r="AB39" s="12"/>
      <c r="AC39" s="12" t="n">
        <v>3.86666666666667</v>
      </c>
      <c r="AD39" s="12" t="n">
        <v>0.928</v>
      </c>
    </row>
    <row r="40" customFormat="false" ht="13.8" hidden="false" customHeight="false" outlineLevel="0" collapsed="false">
      <c r="A40" s="9" t="n">
        <v>39</v>
      </c>
      <c r="B40" s="9" t="s">
        <v>30</v>
      </c>
      <c r="C40" s="9" t="s">
        <v>115</v>
      </c>
      <c r="D40" s="9" t="s">
        <v>124</v>
      </c>
      <c r="E40" s="9" t="s">
        <v>106</v>
      </c>
      <c r="F40" s="9" t="s">
        <v>107</v>
      </c>
      <c r="G40" s="9" t="s">
        <v>125</v>
      </c>
      <c r="H40" s="9" t="s">
        <v>36</v>
      </c>
      <c r="I40" s="9"/>
      <c r="J40" s="9"/>
      <c r="K40" s="9" t="s">
        <v>109</v>
      </c>
      <c r="L40" s="14" t="n">
        <v>2010</v>
      </c>
      <c r="M40" s="9" t="s">
        <v>38</v>
      </c>
      <c r="N40" s="11" t="n">
        <v>8.633333</v>
      </c>
      <c r="O40" s="11" t="n">
        <v>124.9167</v>
      </c>
      <c r="P40" s="9" t="s">
        <v>39</v>
      </c>
      <c r="Q40" s="9" t="s">
        <v>110</v>
      </c>
      <c r="R40" s="9" t="s">
        <v>41</v>
      </c>
      <c r="S40" s="9" t="s">
        <v>111</v>
      </c>
      <c r="T40" s="9" t="s">
        <v>112</v>
      </c>
      <c r="U40" s="9" t="n">
        <v>8.3</v>
      </c>
      <c r="V40" s="9" t="n">
        <v>8.3</v>
      </c>
      <c r="W40" s="9"/>
      <c r="X40" s="9"/>
      <c r="Y40" s="9"/>
      <c r="Z40" s="9" t="n">
        <v>55</v>
      </c>
      <c r="AA40" s="12" t="n">
        <v>0.24</v>
      </c>
      <c r="AB40" s="12"/>
      <c r="AC40" s="12" t="n">
        <v>2.26506024096386</v>
      </c>
      <c r="AD40" s="12" t="n">
        <v>0.543614457831325</v>
      </c>
    </row>
    <row r="41" customFormat="false" ht="13.8" hidden="false" customHeight="false" outlineLevel="0" collapsed="false">
      <c r="A41" s="9" t="n">
        <v>40</v>
      </c>
      <c r="B41" s="9" t="s">
        <v>30</v>
      </c>
      <c r="C41" s="9" t="s">
        <v>115</v>
      </c>
      <c r="D41" s="9" t="s">
        <v>126</v>
      </c>
      <c r="E41" s="9" t="s">
        <v>106</v>
      </c>
      <c r="F41" s="9" t="s">
        <v>107</v>
      </c>
      <c r="G41" s="9" t="n">
        <v>16.6</v>
      </c>
      <c r="H41" s="9" t="s">
        <v>36</v>
      </c>
      <c r="I41" s="9"/>
      <c r="J41" s="9"/>
      <c r="K41" s="9" t="s">
        <v>109</v>
      </c>
      <c r="L41" s="14" t="n">
        <v>2010</v>
      </c>
      <c r="M41" s="9" t="s">
        <v>38</v>
      </c>
      <c r="N41" s="11" t="n">
        <v>8.633333</v>
      </c>
      <c r="O41" s="11" t="n">
        <v>124.9167</v>
      </c>
      <c r="P41" s="9" t="s">
        <v>39</v>
      </c>
      <c r="Q41" s="9" t="s">
        <v>110</v>
      </c>
      <c r="R41" s="9" t="s">
        <v>41</v>
      </c>
      <c r="S41" s="9" t="s">
        <v>111</v>
      </c>
      <c r="T41" s="9" t="s">
        <v>112</v>
      </c>
      <c r="U41" s="9" t="n">
        <v>6</v>
      </c>
      <c r="V41" s="9" t="n">
        <v>6</v>
      </c>
      <c r="W41" s="9"/>
      <c r="X41" s="9"/>
      <c r="Y41" s="9"/>
      <c r="Z41" s="9" t="n">
        <v>55</v>
      </c>
      <c r="AA41" s="12" t="n">
        <v>0.24</v>
      </c>
      <c r="AB41" s="12"/>
      <c r="AC41" s="12" t="n">
        <v>2.76666666666667</v>
      </c>
      <c r="AD41" s="12" t="n">
        <v>0.664</v>
      </c>
    </row>
    <row r="42" customFormat="false" ht="13.8" hidden="false" customHeight="false" outlineLevel="0" collapsed="false">
      <c r="A42" s="9" t="n">
        <v>41</v>
      </c>
      <c r="B42" s="9" t="s">
        <v>30</v>
      </c>
      <c r="C42" s="9" t="s">
        <v>115</v>
      </c>
      <c r="D42" s="9" t="s">
        <v>127</v>
      </c>
      <c r="E42" s="9" t="s">
        <v>106</v>
      </c>
      <c r="F42" s="9" t="s">
        <v>107</v>
      </c>
      <c r="G42" s="9" t="s">
        <v>128</v>
      </c>
      <c r="H42" s="9" t="s">
        <v>36</v>
      </c>
      <c r="I42" s="9"/>
      <c r="J42" s="9"/>
      <c r="K42" s="9" t="s">
        <v>109</v>
      </c>
      <c r="L42" s="14" t="n">
        <v>2010</v>
      </c>
      <c r="M42" s="9" t="s">
        <v>38</v>
      </c>
      <c r="N42" s="11" t="n">
        <v>8.633333</v>
      </c>
      <c r="O42" s="11" t="n">
        <v>124.9167</v>
      </c>
      <c r="P42" s="9" t="s">
        <v>39</v>
      </c>
      <c r="Q42" s="9" t="s">
        <v>110</v>
      </c>
      <c r="R42" s="9" t="s">
        <v>41</v>
      </c>
      <c r="S42" s="9" t="s">
        <v>111</v>
      </c>
      <c r="T42" s="9" t="s">
        <v>112</v>
      </c>
      <c r="U42" s="9" t="n">
        <v>21.7</v>
      </c>
      <c r="V42" s="9" t="n">
        <v>21.7</v>
      </c>
      <c r="W42" s="9"/>
      <c r="X42" s="9"/>
      <c r="Y42" s="9"/>
      <c r="Z42" s="9" t="n">
        <v>55</v>
      </c>
      <c r="AA42" s="12" t="n">
        <v>0.24</v>
      </c>
      <c r="AB42" s="12"/>
      <c r="AC42" s="12" t="n">
        <v>0.509216589861751</v>
      </c>
      <c r="AD42" s="12" t="n">
        <v>0.12221198156682</v>
      </c>
    </row>
    <row r="43" customFormat="false" ht="13.8" hidden="false" customHeight="false" outlineLevel="0" collapsed="false">
      <c r="A43" s="9" t="n">
        <v>42</v>
      </c>
      <c r="B43" s="9" t="s">
        <v>30</v>
      </c>
      <c r="C43" s="9" t="s">
        <v>115</v>
      </c>
      <c r="D43" s="9" t="s">
        <v>129</v>
      </c>
      <c r="E43" s="9" t="s">
        <v>106</v>
      </c>
      <c r="F43" s="9" t="s">
        <v>107</v>
      </c>
      <c r="G43" s="9" t="s">
        <v>130</v>
      </c>
      <c r="H43" s="9" t="s">
        <v>36</v>
      </c>
      <c r="I43" s="9"/>
      <c r="J43" s="9"/>
      <c r="K43" s="9" t="s">
        <v>109</v>
      </c>
      <c r="L43" s="14" t="n">
        <v>2010</v>
      </c>
      <c r="M43" s="9" t="s">
        <v>38</v>
      </c>
      <c r="N43" s="11" t="n">
        <v>8.633333</v>
      </c>
      <c r="O43" s="11" t="n">
        <v>124.9167</v>
      </c>
      <c r="P43" s="9" t="s">
        <v>39</v>
      </c>
      <c r="Q43" s="9" t="s">
        <v>110</v>
      </c>
      <c r="R43" s="9" t="s">
        <v>41</v>
      </c>
      <c r="S43" s="9" t="s">
        <v>111</v>
      </c>
      <c r="T43" s="9" t="s">
        <v>112</v>
      </c>
      <c r="U43" s="9" t="n">
        <v>1.5</v>
      </c>
      <c r="V43" s="9" t="n">
        <v>1.5</v>
      </c>
      <c r="W43" s="9"/>
      <c r="X43" s="9"/>
      <c r="Y43" s="9"/>
      <c r="Z43" s="9" t="n">
        <v>55</v>
      </c>
      <c r="AA43" s="12" t="n">
        <v>0.24</v>
      </c>
      <c r="AB43" s="12"/>
      <c r="AC43" s="12" t="n">
        <v>4.68</v>
      </c>
      <c r="AD43" s="12" t="n">
        <v>1.1232</v>
      </c>
    </row>
    <row r="44" customFormat="false" ht="13.8" hidden="false" customHeight="false" outlineLevel="0" collapsed="false">
      <c r="A44" s="9" t="n">
        <v>43</v>
      </c>
      <c r="B44" s="9" t="s">
        <v>30</v>
      </c>
      <c r="C44" s="9" t="s">
        <v>115</v>
      </c>
      <c r="D44" s="9" t="s">
        <v>131</v>
      </c>
      <c r="E44" s="9" t="s">
        <v>106</v>
      </c>
      <c r="F44" s="9" t="s">
        <v>107</v>
      </c>
      <c r="G44" s="9" t="s">
        <v>132</v>
      </c>
      <c r="H44" s="9" t="s">
        <v>36</v>
      </c>
      <c r="I44" s="9"/>
      <c r="J44" s="9"/>
      <c r="K44" s="9" t="s">
        <v>109</v>
      </c>
      <c r="L44" s="14" t="n">
        <v>2010</v>
      </c>
      <c r="M44" s="9" t="s">
        <v>38</v>
      </c>
      <c r="N44" s="11" t="n">
        <v>8.633333</v>
      </c>
      <c r="O44" s="11" t="n">
        <v>124.9167</v>
      </c>
      <c r="P44" s="9" t="s">
        <v>39</v>
      </c>
      <c r="Q44" s="9" t="s">
        <v>110</v>
      </c>
      <c r="R44" s="9" t="s">
        <v>41</v>
      </c>
      <c r="S44" s="9" t="s">
        <v>111</v>
      </c>
      <c r="T44" s="9" t="s">
        <v>112</v>
      </c>
      <c r="U44" s="9" t="n">
        <v>1.5</v>
      </c>
      <c r="V44" s="9" t="n">
        <v>1.5</v>
      </c>
      <c r="W44" s="9"/>
      <c r="X44" s="9"/>
      <c r="Y44" s="9"/>
      <c r="Z44" s="9" t="n">
        <v>55</v>
      </c>
      <c r="AA44" s="12" t="n">
        <v>0.24</v>
      </c>
      <c r="AB44" s="12"/>
      <c r="AC44" s="12" t="n">
        <v>2.6</v>
      </c>
      <c r="AD44" s="12" t="n">
        <v>0.624</v>
      </c>
    </row>
    <row r="45" customFormat="false" ht="13.8" hidden="false" customHeight="false" outlineLevel="0" collapsed="false">
      <c r="A45" s="9" t="n">
        <v>44</v>
      </c>
      <c r="B45" s="9" t="s">
        <v>30</v>
      </c>
      <c r="C45" s="9" t="s">
        <v>115</v>
      </c>
      <c r="D45" s="9" t="s">
        <v>133</v>
      </c>
      <c r="E45" s="9" t="s">
        <v>106</v>
      </c>
      <c r="F45" s="9" t="s">
        <v>107</v>
      </c>
      <c r="G45" s="9" t="s">
        <v>134</v>
      </c>
      <c r="H45" s="9" t="s">
        <v>36</v>
      </c>
      <c r="I45" s="9"/>
      <c r="J45" s="9"/>
      <c r="K45" s="9" t="s">
        <v>109</v>
      </c>
      <c r="L45" s="14" t="n">
        <v>2010</v>
      </c>
      <c r="M45" s="9" t="s">
        <v>38</v>
      </c>
      <c r="N45" s="11" t="n">
        <v>8.633333</v>
      </c>
      <c r="O45" s="11" t="n">
        <v>124.9167</v>
      </c>
      <c r="P45" s="9" t="s">
        <v>39</v>
      </c>
      <c r="Q45" s="9" t="s">
        <v>110</v>
      </c>
      <c r="R45" s="9" t="s">
        <v>41</v>
      </c>
      <c r="S45" s="9" t="s">
        <v>111</v>
      </c>
      <c r="T45" s="9" t="s">
        <v>112</v>
      </c>
      <c r="U45" s="9" t="n">
        <v>21</v>
      </c>
      <c r="V45" s="9" t="n">
        <v>21</v>
      </c>
      <c r="W45" s="9"/>
      <c r="X45" s="9"/>
      <c r="Y45" s="9"/>
      <c r="Z45" s="9" t="n">
        <v>55</v>
      </c>
      <c r="AA45" s="12" t="n">
        <v>0.24</v>
      </c>
      <c r="AB45" s="12"/>
      <c r="AC45" s="12" t="n">
        <v>7.6047619047619</v>
      </c>
      <c r="AD45" s="12" t="n">
        <v>1.82514285714286</v>
      </c>
    </row>
    <row r="46" customFormat="false" ht="13.8" hidden="false" customHeight="false" outlineLevel="0" collapsed="false">
      <c r="A46" s="9" t="n">
        <v>45</v>
      </c>
      <c r="B46" s="9" t="s">
        <v>30</v>
      </c>
      <c r="C46" s="9" t="s">
        <v>115</v>
      </c>
      <c r="D46" s="9" t="s">
        <v>135</v>
      </c>
      <c r="E46" s="9" t="s">
        <v>106</v>
      </c>
      <c r="F46" s="9" t="s">
        <v>107</v>
      </c>
      <c r="G46" s="9" t="s">
        <v>136</v>
      </c>
      <c r="H46" s="9" t="s">
        <v>36</v>
      </c>
      <c r="I46" s="9"/>
      <c r="J46" s="9"/>
      <c r="K46" s="9" t="s">
        <v>109</v>
      </c>
      <c r="L46" s="14" t="n">
        <v>2010</v>
      </c>
      <c r="M46" s="9" t="s">
        <v>38</v>
      </c>
      <c r="N46" s="11" t="n">
        <v>8.633333</v>
      </c>
      <c r="O46" s="11" t="n">
        <v>124.9167</v>
      </c>
      <c r="P46" s="9" t="s">
        <v>39</v>
      </c>
      <c r="Q46" s="9" t="s">
        <v>110</v>
      </c>
      <c r="R46" s="9" t="s">
        <v>41</v>
      </c>
      <c r="S46" s="9" t="s">
        <v>111</v>
      </c>
      <c r="T46" s="9" t="s">
        <v>112</v>
      </c>
      <c r="U46" s="9" t="n">
        <v>38.8</v>
      </c>
      <c r="V46" s="9" t="n">
        <v>38.8</v>
      </c>
      <c r="W46" s="9"/>
      <c r="X46" s="9"/>
      <c r="Y46" s="9"/>
      <c r="Z46" s="9" t="n">
        <v>55</v>
      </c>
      <c r="AA46" s="12" t="n">
        <v>0.24</v>
      </c>
      <c r="AB46" s="12"/>
      <c r="AC46" s="12" t="n">
        <v>4.01546391752577</v>
      </c>
      <c r="AD46" s="12" t="n">
        <v>0.963711340206186</v>
      </c>
    </row>
    <row r="47" customFormat="false" ht="13.8" hidden="false" customHeight="false" outlineLevel="0" collapsed="false">
      <c r="A47" s="9" t="n">
        <v>46</v>
      </c>
      <c r="B47" s="9" t="s">
        <v>30</v>
      </c>
      <c r="C47" s="9" t="s">
        <v>92</v>
      </c>
      <c r="D47" s="9" t="s">
        <v>137</v>
      </c>
      <c r="E47" s="9" t="s">
        <v>106</v>
      </c>
      <c r="F47" s="9" t="s">
        <v>107</v>
      </c>
      <c r="G47" s="9" t="s">
        <v>138</v>
      </c>
      <c r="H47" s="9" t="s">
        <v>36</v>
      </c>
      <c r="I47" s="9"/>
      <c r="J47" s="9"/>
      <c r="K47" s="9" t="s">
        <v>109</v>
      </c>
      <c r="L47" s="14" t="n">
        <v>2010</v>
      </c>
      <c r="M47" s="9" t="s">
        <v>38</v>
      </c>
      <c r="N47" s="11" t="n">
        <v>8.633333</v>
      </c>
      <c r="O47" s="11" t="n">
        <v>124.9167</v>
      </c>
      <c r="P47" s="9" t="s">
        <v>39</v>
      </c>
      <c r="Q47" s="9" t="s">
        <v>110</v>
      </c>
      <c r="R47" s="9" t="s">
        <v>41</v>
      </c>
      <c r="S47" s="9" t="s">
        <v>111</v>
      </c>
      <c r="T47" s="9" t="s">
        <v>112</v>
      </c>
      <c r="U47" s="9" t="n">
        <v>50</v>
      </c>
      <c r="V47" s="9" t="n">
        <v>50</v>
      </c>
      <c r="W47" s="9"/>
      <c r="X47" s="9"/>
      <c r="Y47" s="9"/>
      <c r="Z47" s="9" t="n">
        <v>55</v>
      </c>
      <c r="AA47" s="12" t="n">
        <v>0.24</v>
      </c>
      <c r="AB47" s="12"/>
      <c r="AC47" s="12" t="n">
        <v>0.058</v>
      </c>
      <c r="AD47" s="12" t="n">
        <v>0.01392</v>
      </c>
    </row>
    <row r="48" customFormat="false" ht="13.8" hidden="false" customHeight="false" outlineLevel="0" collapsed="false">
      <c r="A48" s="9" t="n">
        <v>47</v>
      </c>
      <c r="B48" s="9" t="s">
        <v>59</v>
      </c>
      <c r="C48" s="9" t="s">
        <v>60</v>
      </c>
      <c r="D48" s="9" t="s">
        <v>139</v>
      </c>
      <c r="E48" s="9" t="s">
        <v>140</v>
      </c>
      <c r="F48" s="9" t="s">
        <v>141</v>
      </c>
      <c r="G48" s="12" t="n">
        <v>1742.3887587822</v>
      </c>
      <c r="H48" s="9" t="s">
        <v>142</v>
      </c>
      <c r="I48" s="15" t="n">
        <f aca="false">(G48/1000)*0.47</f>
        <v>0.818922716627634</v>
      </c>
      <c r="J48" s="9" t="s">
        <v>36</v>
      </c>
      <c r="K48" s="9" t="s">
        <v>143</v>
      </c>
      <c r="L48" s="10" t="s">
        <v>51</v>
      </c>
      <c r="M48" s="9" t="s">
        <v>38</v>
      </c>
      <c r="N48" s="11" t="n">
        <v>13.75</v>
      </c>
      <c r="O48" s="11" t="n">
        <v>-15.7833333333333</v>
      </c>
      <c r="P48" s="9" t="s">
        <v>39</v>
      </c>
      <c r="Q48" s="9" t="s">
        <v>40</v>
      </c>
      <c r="R48" s="9" t="s">
        <v>41</v>
      </c>
      <c r="S48" s="9" t="s">
        <v>144</v>
      </c>
      <c r="T48" s="9" t="s">
        <v>43</v>
      </c>
      <c r="U48" s="9" t="n">
        <v>11</v>
      </c>
      <c r="V48" s="9" t="n">
        <v>1</v>
      </c>
      <c r="W48" s="9" t="n">
        <v>1000</v>
      </c>
      <c r="X48" s="9"/>
      <c r="Y48" s="9" t="n">
        <f aca="false">W48+X48</f>
        <v>1000</v>
      </c>
      <c r="Z48" s="9"/>
      <c r="AA48" s="12" t="n">
        <v>0.24</v>
      </c>
      <c r="AB48" s="12"/>
      <c r="AC48" s="12" t="n">
        <f aca="false">I48/V48</f>
        <v>0.818922716627634</v>
      </c>
      <c r="AD48" s="12" t="n">
        <f aca="false">(I48*AA48)/V48</f>
        <v>0.196541451990632</v>
      </c>
    </row>
    <row r="49" customFormat="false" ht="13.8" hidden="false" customHeight="false" outlineLevel="0" collapsed="false">
      <c r="A49" s="9" t="n">
        <v>48</v>
      </c>
      <c r="B49" s="9" t="s">
        <v>59</v>
      </c>
      <c r="C49" s="9" t="s">
        <v>60</v>
      </c>
      <c r="D49" s="9" t="s">
        <v>145</v>
      </c>
      <c r="E49" s="9" t="s">
        <v>140</v>
      </c>
      <c r="F49" s="9" t="s">
        <v>141</v>
      </c>
      <c r="G49" s="12" t="n">
        <v>1105.38641686182</v>
      </c>
      <c r="H49" s="9" t="s">
        <v>142</v>
      </c>
      <c r="I49" s="15" t="n">
        <f aca="false">(G49/1000)*0.47</f>
        <v>0.519531615925055</v>
      </c>
      <c r="J49" s="9" t="s">
        <v>36</v>
      </c>
      <c r="K49" s="9" t="s">
        <v>143</v>
      </c>
      <c r="L49" s="10" t="s">
        <v>51</v>
      </c>
      <c r="M49" s="9" t="s">
        <v>38</v>
      </c>
      <c r="N49" s="11" t="n">
        <v>13.75</v>
      </c>
      <c r="O49" s="11" t="n">
        <v>-15.7833333333333</v>
      </c>
      <c r="P49" s="9" t="s">
        <v>39</v>
      </c>
      <c r="Q49" s="9" t="s">
        <v>40</v>
      </c>
      <c r="R49" s="9" t="s">
        <v>41</v>
      </c>
      <c r="S49" s="9" t="s">
        <v>144</v>
      </c>
      <c r="T49" s="9" t="s">
        <v>43</v>
      </c>
      <c r="U49" s="9" t="n">
        <v>11</v>
      </c>
      <c r="V49" s="9" t="n">
        <v>1</v>
      </c>
      <c r="W49" s="9" t="n">
        <v>1000</v>
      </c>
      <c r="X49" s="9"/>
      <c r="Y49" s="9" t="n">
        <f aca="false">W49+X49</f>
        <v>1000</v>
      </c>
      <c r="Z49" s="9"/>
      <c r="AA49" s="12" t="n">
        <v>0.24</v>
      </c>
      <c r="AB49" s="12"/>
      <c r="AC49" s="12" t="n">
        <f aca="false">I49/V49</f>
        <v>0.519531615925055</v>
      </c>
      <c r="AD49" s="12" t="n">
        <f aca="false">(I49*AA49)/V49</f>
        <v>0.124687587822013</v>
      </c>
    </row>
    <row r="50" customFormat="false" ht="13.8" hidden="false" customHeight="false" outlineLevel="0" collapsed="false">
      <c r="A50" s="9" t="n">
        <v>49</v>
      </c>
      <c r="B50" s="9" t="s">
        <v>59</v>
      </c>
      <c r="C50" s="9" t="s">
        <v>60</v>
      </c>
      <c r="D50" s="9" t="s">
        <v>146</v>
      </c>
      <c r="E50" s="9" t="s">
        <v>140</v>
      </c>
      <c r="F50" s="9" t="s">
        <v>141</v>
      </c>
      <c r="G50" s="12" t="n">
        <v>899.29742388759</v>
      </c>
      <c r="H50" s="9" t="s">
        <v>142</v>
      </c>
      <c r="I50" s="15" t="n">
        <f aca="false">(G50/1000)*0.47</f>
        <v>0.422669789227167</v>
      </c>
      <c r="J50" s="9" t="s">
        <v>36</v>
      </c>
      <c r="K50" s="9" t="s">
        <v>143</v>
      </c>
      <c r="L50" s="10" t="s">
        <v>51</v>
      </c>
      <c r="M50" s="9" t="s">
        <v>38</v>
      </c>
      <c r="N50" s="11" t="n">
        <v>13.75</v>
      </c>
      <c r="O50" s="11" t="n">
        <v>-15.7833333333333</v>
      </c>
      <c r="P50" s="9" t="s">
        <v>39</v>
      </c>
      <c r="Q50" s="9" t="s">
        <v>40</v>
      </c>
      <c r="R50" s="9" t="s">
        <v>41</v>
      </c>
      <c r="S50" s="9" t="s">
        <v>144</v>
      </c>
      <c r="T50" s="9" t="s">
        <v>43</v>
      </c>
      <c r="U50" s="9" t="n">
        <v>11</v>
      </c>
      <c r="V50" s="9" t="n">
        <v>1</v>
      </c>
      <c r="W50" s="9" t="n">
        <v>1000</v>
      </c>
      <c r="X50" s="9"/>
      <c r="Y50" s="9" t="n">
        <f aca="false">W50+X50</f>
        <v>1000</v>
      </c>
      <c r="Z50" s="9"/>
      <c r="AA50" s="12" t="n">
        <v>0.24</v>
      </c>
      <c r="AB50" s="12"/>
      <c r="AC50" s="12" t="n">
        <f aca="false">I50/V50</f>
        <v>0.422669789227167</v>
      </c>
      <c r="AD50" s="12" t="n">
        <f aca="false">(I50*AA50)/V50</f>
        <v>0.10144074941452</v>
      </c>
    </row>
    <row r="51" customFormat="false" ht="13.8" hidden="false" customHeight="false" outlineLevel="0" collapsed="false">
      <c r="A51" s="9" t="n">
        <v>50</v>
      </c>
      <c r="B51" s="9" t="s">
        <v>59</v>
      </c>
      <c r="C51" s="9" t="s">
        <v>60</v>
      </c>
      <c r="D51" s="9" t="s">
        <v>147</v>
      </c>
      <c r="E51" s="9" t="s">
        <v>140</v>
      </c>
      <c r="F51" s="9" t="s">
        <v>141</v>
      </c>
      <c r="G51" s="12" t="n">
        <v>1161.5925058548</v>
      </c>
      <c r="H51" s="9" t="s">
        <v>142</v>
      </c>
      <c r="I51" s="15" t="n">
        <f aca="false">(G51/1000)*0.47</f>
        <v>0.545948477751756</v>
      </c>
      <c r="J51" s="9" t="s">
        <v>36</v>
      </c>
      <c r="K51" s="9" t="s">
        <v>143</v>
      </c>
      <c r="L51" s="10" t="s">
        <v>51</v>
      </c>
      <c r="M51" s="9" t="s">
        <v>38</v>
      </c>
      <c r="N51" s="11" t="n">
        <v>13.75</v>
      </c>
      <c r="O51" s="11" t="n">
        <v>-15.7833333333333</v>
      </c>
      <c r="P51" s="9" t="s">
        <v>39</v>
      </c>
      <c r="Q51" s="9" t="s">
        <v>40</v>
      </c>
      <c r="R51" s="9" t="s">
        <v>41</v>
      </c>
      <c r="S51" s="9" t="s">
        <v>144</v>
      </c>
      <c r="T51" s="9" t="s">
        <v>43</v>
      </c>
      <c r="U51" s="9" t="n">
        <v>11</v>
      </c>
      <c r="V51" s="9" t="n">
        <v>1</v>
      </c>
      <c r="W51" s="9" t="n">
        <v>1000</v>
      </c>
      <c r="X51" s="9"/>
      <c r="Y51" s="9" t="n">
        <f aca="false">W51+X51</f>
        <v>1000</v>
      </c>
      <c r="Z51" s="9"/>
      <c r="AA51" s="12" t="n">
        <v>0.24</v>
      </c>
      <c r="AB51" s="12"/>
      <c r="AC51" s="12" t="n">
        <f aca="false">I51/V51</f>
        <v>0.545948477751756</v>
      </c>
      <c r="AD51" s="12" t="n">
        <f aca="false">(I51*AA51)/V51</f>
        <v>0.131027634660421</v>
      </c>
    </row>
    <row r="52" customFormat="false" ht="13.8" hidden="false" customHeight="false" outlineLevel="0" collapsed="false">
      <c r="A52" s="9" t="n">
        <v>51</v>
      </c>
      <c r="B52" s="9" t="s">
        <v>59</v>
      </c>
      <c r="C52" s="9" t="s">
        <v>60</v>
      </c>
      <c r="D52" s="9" t="s">
        <v>148</v>
      </c>
      <c r="E52" s="9" t="s">
        <v>140</v>
      </c>
      <c r="F52" s="9" t="s">
        <v>141</v>
      </c>
      <c r="G52" s="12" t="n">
        <v>8543.32552693208</v>
      </c>
      <c r="H52" s="9" t="s">
        <v>142</v>
      </c>
      <c r="I52" s="15" t="n">
        <f aca="false">(G52/1000)*0.47</f>
        <v>4.01536299765808</v>
      </c>
      <c r="J52" s="9" t="s">
        <v>36</v>
      </c>
      <c r="K52" s="9" t="s">
        <v>143</v>
      </c>
      <c r="L52" s="10" t="s">
        <v>51</v>
      </c>
      <c r="M52" s="9" t="s">
        <v>38</v>
      </c>
      <c r="N52" s="11" t="n">
        <v>13.75</v>
      </c>
      <c r="O52" s="11" t="n">
        <v>-15.7833333333333</v>
      </c>
      <c r="P52" s="9" t="s">
        <v>39</v>
      </c>
      <c r="Q52" s="9" t="s">
        <v>40</v>
      </c>
      <c r="R52" s="9" t="s">
        <v>41</v>
      </c>
      <c r="S52" s="9" t="s">
        <v>144</v>
      </c>
      <c r="T52" s="9" t="s">
        <v>43</v>
      </c>
      <c r="U52" s="9" t="n">
        <v>11</v>
      </c>
      <c r="V52" s="9" t="n">
        <v>1</v>
      </c>
      <c r="W52" s="9" t="n">
        <v>1000</v>
      </c>
      <c r="X52" s="9"/>
      <c r="Y52" s="9" t="n">
        <f aca="false">W52+X52</f>
        <v>1000</v>
      </c>
      <c r="Z52" s="9"/>
      <c r="AA52" s="12" t="n">
        <v>0.24</v>
      </c>
      <c r="AB52" s="12"/>
      <c r="AC52" s="12" t="n">
        <f aca="false">I52/V52</f>
        <v>4.01536299765808</v>
      </c>
      <c r="AD52" s="12" t="n">
        <f aca="false">(I52*AA52)/V52</f>
        <v>0.963687119437939</v>
      </c>
    </row>
    <row r="53" customFormat="false" ht="13.8" hidden="false" customHeight="false" outlineLevel="0" collapsed="false">
      <c r="A53" s="9" t="n">
        <v>52</v>
      </c>
      <c r="B53" s="9" t="s">
        <v>59</v>
      </c>
      <c r="C53" s="9" t="s">
        <v>60</v>
      </c>
      <c r="D53" s="9" t="s">
        <v>149</v>
      </c>
      <c r="E53" s="9" t="s">
        <v>140</v>
      </c>
      <c r="F53" s="9" t="s">
        <v>141</v>
      </c>
      <c r="G53" s="12" t="n">
        <v>8468.38407494145</v>
      </c>
      <c r="H53" s="9" t="s">
        <v>142</v>
      </c>
      <c r="I53" s="15" t="n">
        <f aca="false">(G53/1000)*0.47</f>
        <v>3.98014051522248</v>
      </c>
      <c r="J53" s="9" t="s">
        <v>36</v>
      </c>
      <c r="K53" s="9" t="s">
        <v>143</v>
      </c>
      <c r="L53" s="10" t="s">
        <v>51</v>
      </c>
      <c r="M53" s="9" t="s">
        <v>38</v>
      </c>
      <c r="N53" s="11" t="n">
        <v>13.75</v>
      </c>
      <c r="O53" s="11" t="n">
        <v>-15.7833333333333</v>
      </c>
      <c r="P53" s="9" t="s">
        <v>39</v>
      </c>
      <c r="Q53" s="9" t="s">
        <v>40</v>
      </c>
      <c r="R53" s="9" t="s">
        <v>41</v>
      </c>
      <c r="S53" s="9" t="s">
        <v>144</v>
      </c>
      <c r="T53" s="9" t="s">
        <v>43</v>
      </c>
      <c r="U53" s="9" t="n">
        <v>11</v>
      </c>
      <c r="V53" s="9" t="n">
        <v>1</v>
      </c>
      <c r="W53" s="9" t="n">
        <v>1000</v>
      </c>
      <c r="X53" s="9"/>
      <c r="Y53" s="9" t="n">
        <f aca="false">W53+X53</f>
        <v>1000</v>
      </c>
      <c r="Z53" s="9"/>
      <c r="AA53" s="12" t="n">
        <v>0.24</v>
      </c>
      <c r="AB53" s="12"/>
      <c r="AC53" s="12" t="n">
        <f aca="false">I53/V53</f>
        <v>3.98014051522248</v>
      </c>
      <c r="AD53" s="12" t="n">
        <f aca="false">(I53*AA53)/V53</f>
        <v>0.955233723653396</v>
      </c>
    </row>
    <row r="54" customFormat="false" ht="13.8" hidden="false" customHeight="false" outlineLevel="0" collapsed="false">
      <c r="A54" s="9" t="n">
        <v>53</v>
      </c>
      <c r="B54" s="9" t="s">
        <v>59</v>
      </c>
      <c r="C54" s="9" t="s">
        <v>60</v>
      </c>
      <c r="D54" s="9" t="s">
        <v>150</v>
      </c>
      <c r="E54" s="9" t="s">
        <v>140</v>
      </c>
      <c r="F54" s="9" t="s">
        <v>141</v>
      </c>
      <c r="G54" s="12" t="n">
        <v>6145.19906323185</v>
      </c>
      <c r="H54" s="9" t="s">
        <v>142</v>
      </c>
      <c r="I54" s="15" t="n">
        <f aca="false">(G54/1000)*0.47</f>
        <v>2.88824355971897</v>
      </c>
      <c r="J54" s="9" t="s">
        <v>36</v>
      </c>
      <c r="K54" s="9" t="s">
        <v>143</v>
      </c>
      <c r="L54" s="10" t="s">
        <v>51</v>
      </c>
      <c r="M54" s="9" t="s">
        <v>38</v>
      </c>
      <c r="N54" s="11" t="n">
        <v>13.75</v>
      </c>
      <c r="O54" s="11" t="n">
        <v>-15.7833333333333</v>
      </c>
      <c r="P54" s="9" t="s">
        <v>39</v>
      </c>
      <c r="Q54" s="9" t="s">
        <v>40</v>
      </c>
      <c r="R54" s="9" t="s">
        <v>41</v>
      </c>
      <c r="S54" s="9" t="s">
        <v>144</v>
      </c>
      <c r="T54" s="9" t="s">
        <v>43</v>
      </c>
      <c r="U54" s="9" t="n">
        <v>11</v>
      </c>
      <c r="V54" s="9" t="n">
        <v>1</v>
      </c>
      <c r="W54" s="9" t="n">
        <v>1000</v>
      </c>
      <c r="X54" s="9"/>
      <c r="Y54" s="9" t="n">
        <f aca="false">W54+X54</f>
        <v>1000</v>
      </c>
      <c r="Z54" s="9"/>
      <c r="AA54" s="12" t="n">
        <v>0.24</v>
      </c>
      <c r="AB54" s="12"/>
      <c r="AC54" s="12" t="n">
        <f aca="false">I54/V54</f>
        <v>2.88824355971897</v>
      </c>
      <c r="AD54" s="12" t="n">
        <f aca="false">(I54*AA54)/V54</f>
        <v>0.693178454332553</v>
      </c>
    </row>
    <row r="55" customFormat="false" ht="13.8" hidden="false" customHeight="false" outlineLevel="0" collapsed="false">
      <c r="A55" s="9" t="n">
        <v>54</v>
      </c>
      <c r="B55" s="9" t="s">
        <v>59</v>
      </c>
      <c r="C55" s="9" t="s">
        <v>60</v>
      </c>
      <c r="D55" s="9" t="s">
        <v>151</v>
      </c>
      <c r="E55" s="9" t="s">
        <v>140</v>
      </c>
      <c r="F55" s="9" t="s">
        <v>141</v>
      </c>
      <c r="G55" s="12" t="n">
        <v>9629.97658079625</v>
      </c>
      <c r="H55" s="9" t="s">
        <v>142</v>
      </c>
      <c r="I55" s="15" t="n">
        <f aca="false">(G55/1000)*0.47</f>
        <v>4.52608899297424</v>
      </c>
      <c r="J55" s="9" t="s">
        <v>36</v>
      </c>
      <c r="K55" s="9" t="s">
        <v>143</v>
      </c>
      <c r="L55" s="10" t="s">
        <v>51</v>
      </c>
      <c r="M55" s="9" t="s">
        <v>38</v>
      </c>
      <c r="N55" s="11" t="n">
        <v>13.75</v>
      </c>
      <c r="O55" s="11" t="n">
        <v>-15.7833333333333</v>
      </c>
      <c r="P55" s="9" t="s">
        <v>39</v>
      </c>
      <c r="Q55" s="9" t="s">
        <v>40</v>
      </c>
      <c r="R55" s="9" t="s">
        <v>41</v>
      </c>
      <c r="S55" s="9" t="s">
        <v>144</v>
      </c>
      <c r="T55" s="9" t="s">
        <v>43</v>
      </c>
      <c r="U55" s="9" t="n">
        <v>11</v>
      </c>
      <c r="V55" s="9" t="n">
        <v>1</v>
      </c>
      <c r="W55" s="9" t="n">
        <v>1000</v>
      </c>
      <c r="X55" s="9"/>
      <c r="Y55" s="9" t="n">
        <f aca="false">W55+X55</f>
        <v>1000</v>
      </c>
      <c r="Z55" s="9"/>
      <c r="AA55" s="12" t="n">
        <v>0.24</v>
      </c>
      <c r="AB55" s="12"/>
      <c r="AC55" s="12" t="n">
        <f aca="false">I55/V55</f>
        <v>4.52608899297424</v>
      </c>
      <c r="AD55" s="12" t="n">
        <f aca="false">(I55*AA55)/V55</f>
        <v>1.08626135831382</v>
      </c>
    </row>
    <row r="56" customFormat="false" ht="13.8" hidden="false" customHeight="false" outlineLevel="0" collapsed="false">
      <c r="A56" s="9" t="n">
        <v>55</v>
      </c>
      <c r="B56" s="9" t="s">
        <v>59</v>
      </c>
      <c r="C56" s="9" t="s">
        <v>60</v>
      </c>
      <c r="D56" s="9" t="s">
        <v>152</v>
      </c>
      <c r="E56" s="9" t="s">
        <v>140</v>
      </c>
      <c r="F56" s="9" t="s">
        <v>141</v>
      </c>
      <c r="G56" s="12" t="n">
        <v>3934.42622950819</v>
      </c>
      <c r="H56" s="9" t="s">
        <v>142</v>
      </c>
      <c r="I56" s="15" t="n">
        <f aca="false">(G56/1000)*0.47</f>
        <v>1.84918032786885</v>
      </c>
      <c r="J56" s="9" t="s">
        <v>36</v>
      </c>
      <c r="K56" s="9" t="s">
        <v>143</v>
      </c>
      <c r="L56" s="10" t="s">
        <v>51</v>
      </c>
      <c r="M56" s="9" t="s">
        <v>38</v>
      </c>
      <c r="N56" s="11" t="n">
        <v>13.75</v>
      </c>
      <c r="O56" s="11" t="n">
        <v>-15.7833333333333</v>
      </c>
      <c r="P56" s="9" t="s">
        <v>39</v>
      </c>
      <c r="Q56" s="9" t="s">
        <v>40</v>
      </c>
      <c r="R56" s="9" t="s">
        <v>41</v>
      </c>
      <c r="S56" s="9" t="s">
        <v>144</v>
      </c>
      <c r="T56" s="9" t="s">
        <v>43</v>
      </c>
      <c r="U56" s="9" t="n">
        <v>11</v>
      </c>
      <c r="V56" s="9" t="n">
        <v>1</v>
      </c>
      <c r="W56" s="9" t="n">
        <v>1000</v>
      </c>
      <c r="X56" s="9"/>
      <c r="Y56" s="9" t="n">
        <f aca="false">W56+X56</f>
        <v>1000</v>
      </c>
      <c r="Z56" s="9"/>
      <c r="AA56" s="12" t="n">
        <v>0.24</v>
      </c>
      <c r="AB56" s="12"/>
      <c r="AC56" s="12" t="n">
        <f aca="false">I56/V56</f>
        <v>1.84918032786885</v>
      </c>
      <c r="AD56" s="12" t="n">
        <f aca="false">(I56*AA56)/V56</f>
        <v>0.443803278688524</v>
      </c>
    </row>
    <row r="57" customFormat="false" ht="13.8" hidden="false" customHeight="false" outlineLevel="0" collapsed="false">
      <c r="A57" s="9" t="n">
        <v>56</v>
      </c>
      <c r="B57" s="9" t="s">
        <v>59</v>
      </c>
      <c r="C57" s="9" t="s">
        <v>60</v>
      </c>
      <c r="D57" s="9" t="s">
        <v>153</v>
      </c>
      <c r="E57" s="9" t="s">
        <v>140</v>
      </c>
      <c r="F57" s="9" t="s">
        <v>141</v>
      </c>
      <c r="G57" s="12" t="n">
        <v>2679.1569086651</v>
      </c>
      <c r="H57" s="9" t="s">
        <v>142</v>
      </c>
      <c r="I57" s="15" t="n">
        <f aca="false">(G57/1000)*0.47</f>
        <v>1.2592037470726</v>
      </c>
      <c r="J57" s="9" t="s">
        <v>36</v>
      </c>
      <c r="K57" s="9" t="s">
        <v>143</v>
      </c>
      <c r="L57" s="10" t="s">
        <v>51</v>
      </c>
      <c r="M57" s="9" t="s">
        <v>38</v>
      </c>
      <c r="N57" s="11" t="n">
        <v>13.75</v>
      </c>
      <c r="O57" s="11" t="n">
        <v>-15.7833333333333</v>
      </c>
      <c r="P57" s="9" t="s">
        <v>39</v>
      </c>
      <c r="Q57" s="9" t="s">
        <v>40</v>
      </c>
      <c r="R57" s="9" t="s">
        <v>41</v>
      </c>
      <c r="S57" s="9" t="s">
        <v>144</v>
      </c>
      <c r="T57" s="9" t="s">
        <v>43</v>
      </c>
      <c r="U57" s="9" t="n">
        <v>11</v>
      </c>
      <c r="V57" s="9" t="n">
        <v>1</v>
      </c>
      <c r="W57" s="9" t="n">
        <v>1000</v>
      </c>
      <c r="X57" s="9"/>
      <c r="Y57" s="9" t="n">
        <f aca="false">W57+X57</f>
        <v>1000</v>
      </c>
      <c r="Z57" s="9"/>
      <c r="AA57" s="12" t="n">
        <v>0.24</v>
      </c>
      <c r="AB57" s="12"/>
      <c r="AC57" s="12" t="n">
        <f aca="false">I57/V57</f>
        <v>1.2592037470726</v>
      </c>
      <c r="AD57" s="12" t="n">
        <f aca="false">(I57*AA57)/V57</f>
        <v>0.302208899297423</v>
      </c>
    </row>
    <row r="58" customFormat="false" ht="13.8" hidden="false" customHeight="false" outlineLevel="0" collapsed="false">
      <c r="A58" s="9" t="n">
        <v>57</v>
      </c>
      <c r="B58" s="9" t="s">
        <v>59</v>
      </c>
      <c r="C58" s="9" t="s">
        <v>60</v>
      </c>
      <c r="D58" s="9" t="s">
        <v>154</v>
      </c>
      <c r="E58" s="9" t="s">
        <v>140</v>
      </c>
      <c r="F58" s="9" t="s">
        <v>141</v>
      </c>
      <c r="G58" s="12" t="n">
        <v>3147.54098360655</v>
      </c>
      <c r="H58" s="9" t="s">
        <v>142</v>
      </c>
      <c r="I58" s="15" t="n">
        <f aca="false">(G58/1000)*0.47</f>
        <v>1.47934426229508</v>
      </c>
      <c r="J58" s="9" t="s">
        <v>36</v>
      </c>
      <c r="K58" s="9" t="s">
        <v>143</v>
      </c>
      <c r="L58" s="10" t="s">
        <v>51</v>
      </c>
      <c r="M58" s="9" t="s">
        <v>38</v>
      </c>
      <c r="N58" s="11" t="n">
        <v>13.75</v>
      </c>
      <c r="O58" s="11" t="n">
        <v>-15.7833333333333</v>
      </c>
      <c r="P58" s="9" t="s">
        <v>39</v>
      </c>
      <c r="Q58" s="9" t="s">
        <v>40</v>
      </c>
      <c r="R58" s="9" t="s">
        <v>41</v>
      </c>
      <c r="S58" s="9" t="s">
        <v>144</v>
      </c>
      <c r="T58" s="9" t="s">
        <v>43</v>
      </c>
      <c r="U58" s="9" t="n">
        <v>11</v>
      </c>
      <c r="V58" s="9" t="n">
        <v>1</v>
      </c>
      <c r="W58" s="9" t="n">
        <v>1000</v>
      </c>
      <c r="X58" s="9"/>
      <c r="Y58" s="9" t="n">
        <f aca="false">W58+X58</f>
        <v>1000</v>
      </c>
      <c r="Z58" s="9"/>
      <c r="AA58" s="12" t="n">
        <v>0.24</v>
      </c>
      <c r="AB58" s="12"/>
      <c r="AC58" s="12" t="n">
        <f aca="false">I58/V58</f>
        <v>1.47934426229508</v>
      </c>
      <c r="AD58" s="12" t="n">
        <f aca="false">(I58*AA58)/V58</f>
        <v>0.355042622950819</v>
      </c>
    </row>
    <row r="59" customFormat="false" ht="13.8" hidden="false" customHeight="false" outlineLevel="0" collapsed="false">
      <c r="A59" s="9" t="n">
        <v>58</v>
      </c>
      <c r="B59" s="9" t="s">
        <v>59</v>
      </c>
      <c r="C59" s="9" t="s">
        <v>60</v>
      </c>
      <c r="D59" s="9" t="s">
        <v>155</v>
      </c>
      <c r="E59" s="9" t="s">
        <v>140</v>
      </c>
      <c r="F59" s="9" t="s">
        <v>141</v>
      </c>
      <c r="G59" s="12" t="n">
        <v>4140.51522248243</v>
      </c>
      <c r="H59" s="9" t="s">
        <v>142</v>
      </c>
      <c r="I59" s="15" t="n">
        <f aca="false">(G59/1000)*0.47</f>
        <v>1.94604215456674</v>
      </c>
      <c r="J59" s="9" t="s">
        <v>36</v>
      </c>
      <c r="K59" s="9" t="s">
        <v>143</v>
      </c>
      <c r="L59" s="10" t="s">
        <v>51</v>
      </c>
      <c r="M59" s="9" t="s">
        <v>38</v>
      </c>
      <c r="N59" s="11" t="n">
        <v>13.75</v>
      </c>
      <c r="O59" s="11" t="n">
        <v>-15.7833333333333</v>
      </c>
      <c r="P59" s="9" t="s">
        <v>39</v>
      </c>
      <c r="Q59" s="9" t="s">
        <v>40</v>
      </c>
      <c r="R59" s="9" t="s">
        <v>41</v>
      </c>
      <c r="S59" s="9" t="s">
        <v>144</v>
      </c>
      <c r="T59" s="9" t="s">
        <v>43</v>
      </c>
      <c r="U59" s="9" t="n">
        <v>11</v>
      </c>
      <c r="V59" s="9" t="n">
        <v>1</v>
      </c>
      <c r="W59" s="9" t="n">
        <v>1000</v>
      </c>
      <c r="X59" s="9"/>
      <c r="Y59" s="9" t="n">
        <f aca="false">W59+X59</f>
        <v>1000</v>
      </c>
      <c r="Z59" s="9"/>
      <c r="AA59" s="12" t="n">
        <v>0.24</v>
      </c>
      <c r="AB59" s="12"/>
      <c r="AC59" s="12" t="n">
        <f aca="false">I59/V59</f>
        <v>1.94604215456674</v>
      </c>
      <c r="AD59" s="12" t="n">
        <f aca="false">(I59*AA59)/V59</f>
        <v>0.467050117096018</v>
      </c>
    </row>
    <row r="60" customFormat="false" ht="13.8" hidden="false" customHeight="false" outlineLevel="0" collapsed="false">
      <c r="A60" s="9" t="n">
        <v>59</v>
      </c>
      <c r="B60" s="9" t="s">
        <v>59</v>
      </c>
      <c r="C60" s="9" t="s">
        <v>60</v>
      </c>
      <c r="D60" s="9" t="s">
        <v>156</v>
      </c>
      <c r="E60" s="9" t="s">
        <v>140</v>
      </c>
      <c r="F60" s="9" t="s">
        <v>141</v>
      </c>
      <c r="G60" s="12" t="n">
        <v>2566.74473067915</v>
      </c>
      <c r="H60" s="9" t="s">
        <v>142</v>
      </c>
      <c r="I60" s="15" t="n">
        <f aca="false">(G60/1000)*0.47</f>
        <v>1.2063700234192</v>
      </c>
      <c r="J60" s="9" t="s">
        <v>36</v>
      </c>
      <c r="K60" s="9" t="s">
        <v>143</v>
      </c>
      <c r="L60" s="10" t="s">
        <v>51</v>
      </c>
      <c r="M60" s="9" t="s">
        <v>38</v>
      </c>
      <c r="N60" s="11" t="n">
        <v>13.75</v>
      </c>
      <c r="O60" s="11" t="n">
        <v>-15.7833333333333</v>
      </c>
      <c r="P60" s="9" t="s">
        <v>39</v>
      </c>
      <c r="Q60" s="9" t="s">
        <v>40</v>
      </c>
      <c r="R60" s="9" t="s">
        <v>41</v>
      </c>
      <c r="S60" s="9" t="s">
        <v>144</v>
      </c>
      <c r="T60" s="9" t="s">
        <v>43</v>
      </c>
      <c r="U60" s="9" t="n">
        <v>11</v>
      </c>
      <c r="V60" s="9" t="n">
        <v>1</v>
      </c>
      <c r="W60" s="9" t="n">
        <v>1000</v>
      </c>
      <c r="X60" s="9"/>
      <c r="Y60" s="9" t="n">
        <f aca="false">W60+X60</f>
        <v>1000</v>
      </c>
      <c r="Z60" s="9"/>
      <c r="AA60" s="12" t="n">
        <v>0.24</v>
      </c>
      <c r="AB60" s="12"/>
      <c r="AC60" s="12" t="n">
        <f aca="false">I60/V60</f>
        <v>1.2063700234192</v>
      </c>
      <c r="AD60" s="12" t="n">
        <f aca="false">(I60*AA60)/V60</f>
        <v>0.289528805620608</v>
      </c>
    </row>
    <row r="61" customFormat="false" ht="13.8" hidden="false" customHeight="false" outlineLevel="0" collapsed="false">
      <c r="A61" s="9" t="n">
        <v>60</v>
      </c>
      <c r="B61" s="9" t="s">
        <v>59</v>
      </c>
      <c r="C61" s="9" t="s">
        <v>60</v>
      </c>
      <c r="D61" s="9" t="s">
        <v>157</v>
      </c>
      <c r="E61" s="9" t="s">
        <v>140</v>
      </c>
      <c r="F61" s="9" t="s">
        <v>141</v>
      </c>
      <c r="G61" s="12" t="n">
        <v>1985.94847775175</v>
      </c>
      <c r="H61" s="9" t="s">
        <v>142</v>
      </c>
      <c r="I61" s="15" t="n">
        <f aca="false">(G61/1000)*0.47</f>
        <v>0.933395784543322</v>
      </c>
      <c r="J61" s="9" t="s">
        <v>36</v>
      </c>
      <c r="K61" s="9" t="s">
        <v>143</v>
      </c>
      <c r="L61" s="10" t="s">
        <v>51</v>
      </c>
      <c r="M61" s="9" t="s">
        <v>38</v>
      </c>
      <c r="N61" s="11" t="n">
        <v>13.75</v>
      </c>
      <c r="O61" s="11" t="n">
        <v>-15.7833333333333</v>
      </c>
      <c r="P61" s="9" t="s">
        <v>39</v>
      </c>
      <c r="Q61" s="9" t="s">
        <v>40</v>
      </c>
      <c r="R61" s="9" t="s">
        <v>41</v>
      </c>
      <c r="S61" s="9" t="s">
        <v>144</v>
      </c>
      <c r="T61" s="9" t="s">
        <v>43</v>
      </c>
      <c r="U61" s="9" t="n">
        <v>11</v>
      </c>
      <c r="V61" s="9" t="n">
        <v>1</v>
      </c>
      <c r="W61" s="9" t="n">
        <v>1000</v>
      </c>
      <c r="X61" s="9"/>
      <c r="Y61" s="9" t="n">
        <f aca="false">W61+X61</f>
        <v>1000</v>
      </c>
      <c r="Z61" s="9"/>
      <c r="AA61" s="12" t="n">
        <v>0.24</v>
      </c>
      <c r="AB61" s="12"/>
      <c r="AC61" s="12" t="n">
        <f aca="false">I61/V61</f>
        <v>0.933395784543322</v>
      </c>
      <c r="AD61" s="12" t="n">
        <f aca="false">(I61*AA61)/V61</f>
        <v>0.224014988290397</v>
      </c>
    </row>
    <row r="62" customFormat="false" ht="13.8" hidden="false" customHeight="false" outlineLevel="0" collapsed="false">
      <c r="A62" s="9" t="n">
        <v>61</v>
      </c>
      <c r="B62" s="9" t="s">
        <v>59</v>
      </c>
      <c r="C62" s="9" t="s">
        <v>60</v>
      </c>
      <c r="D62" s="9" t="s">
        <v>158</v>
      </c>
      <c r="E62" s="9" t="s">
        <v>140</v>
      </c>
      <c r="F62" s="9" t="s">
        <v>141</v>
      </c>
      <c r="G62" s="12" t="n">
        <v>2192.03747072599</v>
      </c>
      <c r="H62" s="9" t="s">
        <v>142</v>
      </c>
      <c r="I62" s="15" t="n">
        <f aca="false">(G62/1000)*0.47</f>
        <v>1.03025761124122</v>
      </c>
      <c r="J62" s="9" t="s">
        <v>36</v>
      </c>
      <c r="K62" s="9" t="s">
        <v>143</v>
      </c>
      <c r="L62" s="10" t="s">
        <v>51</v>
      </c>
      <c r="M62" s="9" t="s">
        <v>38</v>
      </c>
      <c r="N62" s="11" t="n">
        <v>13.75</v>
      </c>
      <c r="O62" s="11" t="n">
        <v>-15.7833333333333</v>
      </c>
      <c r="P62" s="9" t="s">
        <v>39</v>
      </c>
      <c r="Q62" s="9" t="s">
        <v>40</v>
      </c>
      <c r="R62" s="9" t="s">
        <v>41</v>
      </c>
      <c r="S62" s="9" t="s">
        <v>144</v>
      </c>
      <c r="T62" s="9" t="s">
        <v>43</v>
      </c>
      <c r="U62" s="9" t="n">
        <v>11</v>
      </c>
      <c r="V62" s="9" t="n">
        <v>1</v>
      </c>
      <c r="W62" s="9" t="n">
        <v>1000</v>
      </c>
      <c r="X62" s="9"/>
      <c r="Y62" s="9" t="n">
        <f aca="false">W62+X62</f>
        <v>1000</v>
      </c>
      <c r="Z62" s="9"/>
      <c r="AA62" s="12" t="n">
        <v>0.24</v>
      </c>
      <c r="AB62" s="12"/>
      <c r="AC62" s="12" t="n">
        <f aca="false">I62/V62</f>
        <v>1.03025761124122</v>
      </c>
      <c r="AD62" s="12" t="n">
        <f aca="false">(I62*AA62)/V62</f>
        <v>0.247261826697892</v>
      </c>
    </row>
    <row r="63" customFormat="false" ht="13.8" hidden="false" customHeight="false" outlineLevel="0" collapsed="false">
      <c r="A63" s="9" t="n">
        <v>62</v>
      </c>
      <c r="B63" s="9" t="s">
        <v>59</v>
      </c>
      <c r="C63" s="9" t="s">
        <v>60</v>
      </c>
      <c r="D63" s="9" t="s">
        <v>159</v>
      </c>
      <c r="E63" s="9" t="s">
        <v>140</v>
      </c>
      <c r="F63" s="9" t="s">
        <v>141</v>
      </c>
      <c r="G63" s="12" t="n">
        <v>2941.45199063232</v>
      </c>
      <c r="H63" s="9" t="s">
        <v>142</v>
      </c>
      <c r="I63" s="15" t="n">
        <f aca="false">(G63/1000)*0.47</f>
        <v>1.38248243559719</v>
      </c>
      <c r="J63" s="9" t="s">
        <v>36</v>
      </c>
      <c r="K63" s="9" t="s">
        <v>143</v>
      </c>
      <c r="L63" s="10" t="s">
        <v>51</v>
      </c>
      <c r="M63" s="9" t="s">
        <v>38</v>
      </c>
      <c r="N63" s="11" t="n">
        <v>13.75</v>
      </c>
      <c r="O63" s="11" t="n">
        <v>-15.7833333333333</v>
      </c>
      <c r="P63" s="9" t="s">
        <v>39</v>
      </c>
      <c r="Q63" s="9" t="s">
        <v>40</v>
      </c>
      <c r="R63" s="9" t="s">
        <v>41</v>
      </c>
      <c r="S63" s="9" t="s">
        <v>144</v>
      </c>
      <c r="T63" s="9" t="s">
        <v>43</v>
      </c>
      <c r="U63" s="9" t="n">
        <v>11</v>
      </c>
      <c r="V63" s="9" t="n">
        <v>1</v>
      </c>
      <c r="W63" s="9" t="n">
        <v>1000</v>
      </c>
      <c r="X63" s="9"/>
      <c r="Y63" s="9" t="n">
        <f aca="false">W63+X63</f>
        <v>1000</v>
      </c>
      <c r="Z63" s="9"/>
      <c r="AA63" s="12" t="n">
        <v>0.24</v>
      </c>
      <c r="AB63" s="12"/>
      <c r="AC63" s="12" t="n">
        <f aca="false">I63/V63</f>
        <v>1.38248243559719</v>
      </c>
      <c r="AD63" s="12" t="n">
        <f aca="false">(I63*AA63)/V63</f>
        <v>0.331795784543326</v>
      </c>
    </row>
    <row r="64" customFormat="false" ht="13.8" hidden="false" customHeight="false" outlineLevel="0" collapsed="false">
      <c r="A64" s="9" t="n">
        <v>63</v>
      </c>
      <c r="B64" s="9" t="s">
        <v>59</v>
      </c>
      <c r="C64" s="9" t="s">
        <v>60</v>
      </c>
      <c r="D64" s="9" t="s">
        <v>160</v>
      </c>
      <c r="E64" s="9" t="s">
        <v>140</v>
      </c>
      <c r="F64" s="9" t="s">
        <v>141</v>
      </c>
      <c r="G64" s="12" t="n">
        <v>4346.60421545667</v>
      </c>
      <c r="H64" s="9" t="s">
        <v>142</v>
      </c>
      <c r="I64" s="15" t="n">
        <f aca="false">(G64/1000)*0.47</f>
        <v>2.04290398126463</v>
      </c>
      <c r="J64" s="9" t="s">
        <v>36</v>
      </c>
      <c r="K64" s="9" t="s">
        <v>143</v>
      </c>
      <c r="L64" s="10" t="s">
        <v>51</v>
      </c>
      <c r="M64" s="9" t="s">
        <v>38</v>
      </c>
      <c r="N64" s="11" t="n">
        <v>13.75</v>
      </c>
      <c r="O64" s="11" t="n">
        <v>-15.7833333333333</v>
      </c>
      <c r="P64" s="9" t="s">
        <v>39</v>
      </c>
      <c r="Q64" s="9" t="s">
        <v>40</v>
      </c>
      <c r="R64" s="9" t="s">
        <v>41</v>
      </c>
      <c r="S64" s="9" t="s">
        <v>144</v>
      </c>
      <c r="T64" s="9" t="s">
        <v>43</v>
      </c>
      <c r="U64" s="9" t="n">
        <v>11</v>
      </c>
      <c r="V64" s="9" t="n">
        <v>1</v>
      </c>
      <c r="W64" s="9" t="n">
        <v>1000</v>
      </c>
      <c r="X64" s="9"/>
      <c r="Y64" s="9" t="n">
        <f aca="false">W64+X64</f>
        <v>1000</v>
      </c>
      <c r="Z64" s="9"/>
      <c r="AA64" s="12" t="n">
        <v>0.24</v>
      </c>
      <c r="AB64" s="12"/>
      <c r="AC64" s="12" t="n">
        <f aca="false">I64/V64</f>
        <v>2.04290398126463</v>
      </c>
      <c r="AD64" s="12" t="n">
        <f aca="false">(I64*AA64)/V64</f>
        <v>0.490296955503512</v>
      </c>
    </row>
    <row r="65" customFormat="false" ht="13.8" hidden="false" customHeight="false" outlineLevel="0" collapsed="false">
      <c r="A65" s="9" t="n">
        <v>64</v>
      </c>
      <c r="B65" s="9" t="s">
        <v>59</v>
      </c>
      <c r="C65" s="9" t="s">
        <v>60</v>
      </c>
      <c r="D65" s="9" t="s">
        <v>161</v>
      </c>
      <c r="E65" s="9" t="s">
        <v>140</v>
      </c>
      <c r="F65" s="9" t="s">
        <v>141</v>
      </c>
      <c r="G65" s="12" t="n">
        <v>4065.5737704918</v>
      </c>
      <c r="H65" s="9" t="s">
        <v>142</v>
      </c>
      <c r="I65" s="15" t="n">
        <f aca="false">(G65/1000)*0.47</f>
        <v>1.91081967213115</v>
      </c>
      <c r="J65" s="9" t="s">
        <v>36</v>
      </c>
      <c r="K65" s="9" t="s">
        <v>143</v>
      </c>
      <c r="L65" s="10" t="s">
        <v>51</v>
      </c>
      <c r="M65" s="9" t="s">
        <v>38</v>
      </c>
      <c r="N65" s="11" t="n">
        <v>13.75</v>
      </c>
      <c r="O65" s="11" t="n">
        <v>-15.7833333333333</v>
      </c>
      <c r="P65" s="9" t="s">
        <v>39</v>
      </c>
      <c r="Q65" s="9" t="s">
        <v>40</v>
      </c>
      <c r="R65" s="9" t="s">
        <v>41</v>
      </c>
      <c r="S65" s="9" t="s">
        <v>144</v>
      </c>
      <c r="T65" s="9" t="s">
        <v>43</v>
      </c>
      <c r="U65" s="9" t="n">
        <v>11</v>
      </c>
      <c r="V65" s="9" t="n">
        <v>1</v>
      </c>
      <c r="W65" s="9" t="n">
        <v>1000</v>
      </c>
      <c r="X65" s="9"/>
      <c r="Y65" s="9" t="n">
        <f aca="false">W65+X65</f>
        <v>1000</v>
      </c>
      <c r="Z65" s="9"/>
      <c r="AA65" s="12" t="n">
        <v>0.24</v>
      </c>
      <c r="AB65" s="12"/>
      <c r="AC65" s="12" t="n">
        <f aca="false">I65/V65</f>
        <v>1.91081967213115</v>
      </c>
      <c r="AD65" s="12" t="n">
        <f aca="false">(I65*AA65)/V65</f>
        <v>0.458596721311475</v>
      </c>
    </row>
    <row r="66" customFormat="false" ht="13.8" hidden="false" customHeight="false" outlineLevel="0" collapsed="false">
      <c r="A66" s="9" t="n">
        <v>65</v>
      </c>
      <c r="B66" s="9" t="s">
        <v>59</v>
      </c>
      <c r="C66" s="9" t="s">
        <v>60</v>
      </c>
      <c r="D66" s="9" t="s">
        <v>162</v>
      </c>
      <c r="E66" s="9" t="s">
        <v>140</v>
      </c>
      <c r="F66" s="9" t="s">
        <v>141</v>
      </c>
      <c r="G66" s="12" t="n">
        <v>4121.77985948477</v>
      </c>
      <c r="H66" s="9" t="s">
        <v>142</v>
      </c>
      <c r="I66" s="15" t="n">
        <f aca="false">(G66/1000)*0.47</f>
        <v>1.93723653395784</v>
      </c>
      <c r="J66" s="9" t="s">
        <v>36</v>
      </c>
      <c r="K66" s="9" t="s">
        <v>143</v>
      </c>
      <c r="L66" s="10" t="s">
        <v>51</v>
      </c>
      <c r="M66" s="9" t="s">
        <v>38</v>
      </c>
      <c r="N66" s="11" t="n">
        <v>13.75</v>
      </c>
      <c r="O66" s="11" t="n">
        <v>-15.7833333333333</v>
      </c>
      <c r="P66" s="9" t="s">
        <v>39</v>
      </c>
      <c r="Q66" s="9" t="s">
        <v>40</v>
      </c>
      <c r="R66" s="9" t="s">
        <v>41</v>
      </c>
      <c r="S66" s="9" t="s">
        <v>144</v>
      </c>
      <c r="T66" s="9" t="s">
        <v>43</v>
      </c>
      <c r="U66" s="9" t="n">
        <v>11</v>
      </c>
      <c r="V66" s="9" t="n">
        <v>1</v>
      </c>
      <c r="W66" s="9" t="n">
        <v>1000</v>
      </c>
      <c r="X66" s="9"/>
      <c r="Y66" s="9" t="n">
        <f aca="false">W66+X66</f>
        <v>1000</v>
      </c>
      <c r="Z66" s="9"/>
      <c r="AA66" s="12" t="n">
        <v>0.24</v>
      </c>
      <c r="AB66" s="12"/>
      <c r="AC66" s="12" t="n">
        <f aca="false">I66/V66</f>
        <v>1.93723653395784</v>
      </c>
      <c r="AD66" s="12" t="n">
        <f aca="false">(I66*AA66)/V66</f>
        <v>0.464936768149882</v>
      </c>
    </row>
    <row r="67" customFormat="false" ht="13.8" hidden="false" customHeight="false" outlineLevel="0" collapsed="false">
      <c r="A67" s="9" t="n">
        <v>66</v>
      </c>
      <c r="B67" s="9" t="s">
        <v>59</v>
      </c>
      <c r="C67" s="9" t="s">
        <v>60</v>
      </c>
      <c r="D67" s="9" t="s">
        <v>163</v>
      </c>
      <c r="E67" s="9" t="s">
        <v>140</v>
      </c>
      <c r="F67" s="9" t="s">
        <v>141</v>
      </c>
      <c r="G67" s="12" t="n">
        <v>6051.52224824355</v>
      </c>
      <c r="H67" s="9" t="s">
        <v>142</v>
      </c>
      <c r="I67" s="15" t="n">
        <f aca="false">(G67/1000)*0.47</f>
        <v>2.84421545667447</v>
      </c>
      <c r="J67" s="9" t="s">
        <v>36</v>
      </c>
      <c r="K67" s="9" t="s">
        <v>143</v>
      </c>
      <c r="L67" s="10" t="s">
        <v>51</v>
      </c>
      <c r="M67" s="9" t="s">
        <v>38</v>
      </c>
      <c r="N67" s="11" t="n">
        <v>13.75</v>
      </c>
      <c r="O67" s="11" t="n">
        <v>-15.7833333333333</v>
      </c>
      <c r="P67" s="9" t="s">
        <v>39</v>
      </c>
      <c r="Q67" s="9" t="s">
        <v>40</v>
      </c>
      <c r="R67" s="9" t="s">
        <v>41</v>
      </c>
      <c r="S67" s="9" t="s">
        <v>144</v>
      </c>
      <c r="T67" s="9" t="s">
        <v>43</v>
      </c>
      <c r="U67" s="9" t="n">
        <v>11</v>
      </c>
      <c r="V67" s="9" t="n">
        <v>1</v>
      </c>
      <c r="W67" s="9" t="n">
        <v>1000</v>
      </c>
      <c r="X67" s="9"/>
      <c r="Y67" s="9" t="n">
        <f aca="false">W67+X67</f>
        <v>1000</v>
      </c>
      <c r="Z67" s="9"/>
      <c r="AA67" s="12" t="n">
        <v>0.24</v>
      </c>
      <c r="AB67" s="12"/>
      <c r="AC67" s="12" t="n">
        <f aca="false">I67/V67</f>
        <v>2.84421545667447</v>
      </c>
      <c r="AD67" s="12" t="n">
        <f aca="false">(I67*AA67)/V67</f>
        <v>0.682611709601872</v>
      </c>
    </row>
    <row r="68" customFormat="false" ht="13.8" hidden="false" customHeight="false" outlineLevel="0" collapsed="false">
      <c r="A68" s="9" t="n">
        <v>67</v>
      </c>
      <c r="B68" s="9" t="s">
        <v>164</v>
      </c>
      <c r="C68" s="9" t="s">
        <v>92</v>
      </c>
      <c r="D68" s="9" t="s">
        <v>165</v>
      </c>
      <c r="E68" s="9" t="s">
        <v>166</v>
      </c>
      <c r="F68" s="9" t="s">
        <v>167</v>
      </c>
      <c r="G68" s="15" t="n">
        <f aca="false">36.69/26</f>
        <v>1.41115384615385</v>
      </c>
      <c r="H68" s="9" t="s">
        <v>168</v>
      </c>
      <c r="I68" s="9"/>
      <c r="J68" s="9"/>
      <c r="K68" s="9" t="s">
        <v>169</v>
      </c>
      <c r="L68" s="0" t="n">
        <v>2014</v>
      </c>
      <c r="M68" s="9" t="s">
        <v>38</v>
      </c>
      <c r="N68" s="11" t="n">
        <v>45.7161111</v>
      </c>
      <c r="O68" s="11" t="n">
        <v>3.0275</v>
      </c>
      <c r="P68" s="9" t="s">
        <v>97</v>
      </c>
      <c r="Q68" s="9" t="s">
        <v>98</v>
      </c>
      <c r="R68" s="9" t="s">
        <v>99</v>
      </c>
      <c r="S68" s="9" t="s">
        <v>170</v>
      </c>
      <c r="T68" s="9" t="s">
        <v>101</v>
      </c>
      <c r="U68" s="9" t="n">
        <v>26</v>
      </c>
      <c r="V68" s="9" t="n">
        <v>26</v>
      </c>
      <c r="W68" s="9" t="n">
        <v>200</v>
      </c>
      <c r="X68" s="9"/>
      <c r="Y68" s="9" t="n">
        <f aca="false">W68+X68</f>
        <v>200</v>
      </c>
      <c r="Z68" s="9"/>
      <c r="AA68" s="12" t="n">
        <f aca="false">AB68/(AC68*V68)</f>
        <v>0.248841646225129</v>
      </c>
      <c r="AB68" s="12" t="n">
        <v>9.13</v>
      </c>
      <c r="AC68" s="12" t="n">
        <f aca="false">36.69/26</f>
        <v>1.41115384615385</v>
      </c>
      <c r="AD68" s="12" t="n">
        <f aca="false">AB68/V68</f>
        <v>0.351153846153846</v>
      </c>
    </row>
    <row r="69" customFormat="false" ht="13.8" hidden="false" customHeight="false" outlineLevel="0" collapsed="false">
      <c r="A69" s="9" t="n">
        <v>68</v>
      </c>
      <c r="B69" s="9" t="s">
        <v>164</v>
      </c>
      <c r="C69" s="9" t="s">
        <v>47</v>
      </c>
      <c r="D69" s="9" t="s">
        <v>171</v>
      </c>
      <c r="E69" s="9" t="s">
        <v>172</v>
      </c>
      <c r="F69" s="9" t="s">
        <v>173</v>
      </c>
      <c r="G69" s="15" t="n">
        <f aca="false">0.017/6</f>
        <v>0.00283333333333333</v>
      </c>
      <c r="H69" s="9" t="s">
        <v>168</v>
      </c>
      <c r="I69" s="9"/>
      <c r="J69" s="9"/>
      <c r="K69" s="9" t="s">
        <v>169</v>
      </c>
      <c r="L69" s="0" t="n">
        <v>2014</v>
      </c>
      <c r="M69" s="9" t="s">
        <v>38</v>
      </c>
      <c r="N69" s="11" t="n">
        <v>48.1022222</v>
      </c>
      <c r="O69" s="11" t="n">
        <v>1.29944444444444</v>
      </c>
      <c r="P69" s="9" t="s">
        <v>174</v>
      </c>
      <c r="Q69" s="9" t="s">
        <v>175</v>
      </c>
      <c r="R69" s="9" t="s">
        <v>174</v>
      </c>
      <c r="S69" s="9" t="s">
        <v>170</v>
      </c>
      <c r="T69" s="9" t="s">
        <v>101</v>
      </c>
      <c r="U69" s="9" t="n">
        <v>6</v>
      </c>
      <c r="V69" s="9" t="n">
        <v>6</v>
      </c>
      <c r="W69" s="9" t="n">
        <v>34</v>
      </c>
      <c r="X69" s="9"/>
      <c r="Y69" s="9" t="n">
        <f aca="false">W69+X69</f>
        <v>34</v>
      </c>
      <c r="Z69" s="9"/>
      <c r="AA69" s="12" t="n">
        <f aca="false">AB69/(AC69*V69)</f>
        <v>0.588235294117647</v>
      </c>
      <c r="AB69" s="12" t="n">
        <v>0.01</v>
      </c>
      <c r="AC69" s="12" t="n">
        <f aca="false">0.017/6</f>
        <v>0.00283333333333333</v>
      </c>
      <c r="AD69" s="12" t="n">
        <f aca="false">AB69/V69</f>
        <v>0.00166666666666667</v>
      </c>
    </row>
    <row r="70" customFormat="false" ht="13.8" hidden="false" customHeight="false" outlineLevel="0" collapsed="false">
      <c r="A70" s="9" t="n">
        <v>69</v>
      </c>
      <c r="B70" s="9" t="s">
        <v>164</v>
      </c>
      <c r="C70" s="9" t="s">
        <v>47</v>
      </c>
      <c r="D70" s="9" t="s">
        <v>176</v>
      </c>
      <c r="E70" s="9" t="s">
        <v>177</v>
      </c>
      <c r="F70" s="9" t="s">
        <v>178</v>
      </c>
      <c r="G70" s="15" t="n">
        <f aca="false">0.073/6</f>
        <v>0.0121666666666667</v>
      </c>
      <c r="H70" s="9" t="s">
        <v>168</v>
      </c>
      <c r="I70" s="9"/>
      <c r="J70" s="9"/>
      <c r="K70" s="9" t="s">
        <v>169</v>
      </c>
      <c r="L70" s="0" t="n">
        <v>2014</v>
      </c>
      <c r="M70" s="9" t="s">
        <v>38</v>
      </c>
      <c r="N70" s="11" t="n">
        <v>46.1983333</v>
      </c>
      <c r="O70" s="11" t="n">
        <v>-0.176944444444444</v>
      </c>
      <c r="P70" s="9" t="s">
        <v>174</v>
      </c>
      <c r="Q70" s="9" t="s">
        <v>175</v>
      </c>
      <c r="R70" s="9" t="s">
        <v>174</v>
      </c>
      <c r="S70" s="9" t="s">
        <v>170</v>
      </c>
      <c r="T70" s="9" t="s">
        <v>101</v>
      </c>
      <c r="U70" s="9" t="n">
        <v>6</v>
      </c>
      <c r="V70" s="9" t="n">
        <v>6</v>
      </c>
      <c r="W70" s="9" t="n">
        <v>35</v>
      </c>
      <c r="X70" s="9"/>
      <c r="Y70" s="9" t="n">
        <f aca="false">W70+X70</f>
        <v>35</v>
      </c>
      <c r="Z70" s="9"/>
      <c r="AA70" s="12" t="n">
        <f aca="false">AB70/(AC70*V70)</f>
        <v>0.410958904109589</v>
      </c>
      <c r="AB70" s="12" t="n">
        <v>0.03</v>
      </c>
      <c r="AC70" s="12" t="n">
        <f aca="false">0.073/6</f>
        <v>0.0121666666666667</v>
      </c>
      <c r="AD70" s="12" t="n">
        <f aca="false">AB70/V70</f>
        <v>0.005</v>
      </c>
    </row>
    <row r="71" customFormat="false" ht="13.8" hidden="false" customHeight="false" outlineLevel="0" collapsed="false">
      <c r="A71" s="9" t="n">
        <v>70</v>
      </c>
      <c r="B71" s="9" t="s">
        <v>164</v>
      </c>
      <c r="C71" s="9" t="s">
        <v>47</v>
      </c>
      <c r="D71" s="9" t="s">
        <v>179</v>
      </c>
      <c r="E71" s="9" t="s">
        <v>180</v>
      </c>
      <c r="F71" s="9" t="s">
        <v>181</v>
      </c>
      <c r="G71" s="15" t="n">
        <f aca="false">19.85/41</f>
        <v>0.484146341463415</v>
      </c>
      <c r="H71" s="9" t="s">
        <v>168</v>
      </c>
      <c r="I71" s="9"/>
      <c r="J71" s="9"/>
      <c r="K71" s="9" t="s">
        <v>169</v>
      </c>
      <c r="L71" s="0" t="n">
        <v>2014</v>
      </c>
      <c r="M71" s="9" t="s">
        <v>38</v>
      </c>
      <c r="N71" s="11" t="n">
        <v>46.0108333</v>
      </c>
      <c r="O71" s="11" t="n">
        <v>-0.2325</v>
      </c>
      <c r="P71" s="9" t="s">
        <v>174</v>
      </c>
      <c r="Q71" s="9" t="s">
        <v>175</v>
      </c>
      <c r="R71" s="9" t="s">
        <v>174</v>
      </c>
      <c r="S71" s="9" t="s">
        <v>170</v>
      </c>
      <c r="T71" s="9" t="s">
        <v>101</v>
      </c>
      <c r="U71" s="9" t="n">
        <v>41</v>
      </c>
      <c r="V71" s="9" t="n">
        <v>41</v>
      </c>
      <c r="W71" s="9" t="n">
        <v>102</v>
      </c>
      <c r="X71" s="9"/>
      <c r="Y71" s="9" t="n">
        <f aca="false">W71+X71</f>
        <v>102</v>
      </c>
      <c r="Z71" s="9"/>
      <c r="AA71" s="12" t="n">
        <f aca="false">AB71/(AC71*V71)</f>
        <v>0.279596977329975</v>
      </c>
      <c r="AB71" s="12" t="n">
        <v>5.55</v>
      </c>
      <c r="AC71" s="12" t="n">
        <f aca="false">19.85/41</f>
        <v>0.484146341463415</v>
      </c>
      <c r="AD71" s="12" t="n">
        <f aca="false">AB71/V71</f>
        <v>0.135365853658537</v>
      </c>
    </row>
    <row r="72" customFormat="false" ht="13.8" hidden="false" customHeight="false" outlineLevel="0" collapsed="false">
      <c r="A72" s="9" t="n">
        <v>71</v>
      </c>
      <c r="B72" s="9" t="s">
        <v>164</v>
      </c>
      <c r="C72" s="9" t="s">
        <v>47</v>
      </c>
      <c r="D72" s="9" t="s">
        <v>182</v>
      </c>
      <c r="E72" s="9" t="s">
        <v>183</v>
      </c>
      <c r="F72" s="9" t="s">
        <v>184</v>
      </c>
      <c r="G72" s="15" t="n">
        <f aca="false">10.88/18</f>
        <v>0.604444444444444</v>
      </c>
      <c r="H72" s="9" t="s">
        <v>168</v>
      </c>
      <c r="I72" s="9"/>
      <c r="J72" s="9"/>
      <c r="K72" s="9" t="s">
        <v>169</v>
      </c>
      <c r="L72" s="0" t="n">
        <v>2014</v>
      </c>
      <c r="M72" s="9" t="s">
        <v>38</v>
      </c>
      <c r="N72" s="11" t="n">
        <v>43.7166667</v>
      </c>
      <c r="O72" s="11" t="n">
        <v>4.01666666666666</v>
      </c>
      <c r="P72" s="9" t="s">
        <v>174</v>
      </c>
      <c r="Q72" s="9" t="s">
        <v>175</v>
      </c>
      <c r="R72" s="9" t="s">
        <v>174</v>
      </c>
      <c r="S72" s="9" t="s">
        <v>170</v>
      </c>
      <c r="T72" s="9" t="s">
        <v>101</v>
      </c>
      <c r="U72" s="9" t="n">
        <v>18</v>
      </c>
      <c r="V72" s="9" t="n">
        <v>18</v>
      </c>
      <c r="W72" s="9" t="n">
        <v>110</v>
      </c>
      <c r="X72" s="9"/>
      <c r="Y72" s="9" t="n">
        <f aca="false">W72+X72</f>
        <v>110</v>
      </c>
      <c r="Z72" s="9"/>
      <c r="AA72" s="12" t="n">
        <f aca="false">AB72/(AC72*V72)</f>
        <v>0.274816176470588</v>
      </c>
      <c r="AB72" s="12" t="n">
        <v>2.99</v>
      </c>
      <c r="AC72" s="12" t="n">
        <f aca="false">10.88/18</f>
        <v>0.604444444444444</v>
      </c>
      <c r="AD72" s="12" t="n">
        <f aca="false">AB72/V72</f>
        <v>0.166111111111111</v>
      </c>
    </row>
    <row r="73" customFormat="false" ht="13.8" hidden="false" customHeight="false" outlineLevel="0" collapsed="false">
      <c r="A73" s="9" t="n">
        <v>72</v>
      </c>
      <c r="B73" s="9" t="s">
        <v>164</v>
      </c>
      <c r="C73" s="9" t="s">
        <v>47</v>
      </c>
      <c r="D73" s="9" t="s">
        <v>185</v>
      </c>
      <c r="E73" s="9" t="s">
        <v>186</v>
      </c>
      <c r="F73" s="9" t="s">
        <v>187</v>
      </c>
      <c r="G73" s="15" t="n">
        <f aca="false">26.64/18</f>
        <v>1.48</v>
      </c>
      <c r="H73" s="9" t="s">
        <v>168</v>
      </c>
      <c r="I73" s="9"/>
      <c r="J73" s="9"/>
      <c r="K73" s="9" t="s">
        <v>169</v>
      </c>
      <c r="L73" s="0" t="n">
        <v>2014</v>
      </c>
      <c r="M73" s="9" t="s">
        <v>38</v>
      </c>
      <c r="N73" s="11" t="n">
        <v>44.0608333</v>
      </c>
      <c r="O73" s="11" t="n">
        <v>4.11027777777777</v>
      </c>
      <c r="P73" s="9" t="s">
        <v>174</v>
      </c>
      <c r="Q73" s="9" t="s">
        <v>175</v>
      </c>
      <c r="R73" s="9" t="s">
        <v>174</v>
      </c>
      <c r="S73" s="9" t="s">
        <v>170</v>
      </c>
      <c r="T73" s="9" t="s">
        <v>101</v>
      </c>
      <c r="U73" s="9" t="n">
        <v>18</v>
      </c>
      <c r="V73" s="9" t="n">
        <v>18</v>
      </c>
      <c r="W73" s="9" t="n">
        <v>100</v>
      </c>
      <c r="X73" s="9"/>
      <c r="Y73" s="9" t="n">
        <f aca="false">W73+X73</f>
        <v>100</v>
      </c>
      <c r="Z73" s="9"/>
      <c r="AA73" s="12" t="n">
        <f aca="false">AB73/(AC73*V73)</f>
        <v>0.248123123123123</v>
      </c>
      <c r="AB73" s="12" t="n">
        <v>6.61</v>
      </c>
      <c r="AC73" s="12" t="n">
        <f aca="false">26.64/18</f>
        <v>1.48</v>
      </c>
      <c r="AD73" s="12" t="n">
        <f aca="false">AB73/V73</f>
        <v>0.367222222222222</v>
      </c>
    </row>
    <row r="74" customFormat="false" ht="13.8" hidden="false" customHeight="false" outlineLevel="0" collapsed="false">
      <c r="A74" s="9" t="n">
        <v>73</v>
      </c>
      <c r="B74" s="9" t="s">
        <v>30</v>
      </c>
      <c r="C74" s="9" t="s">
        <v>47</v>
      </c>
      <c r="D74" s="9" t="s">
        <v>188</v>
      </c>
      <c r="E74" s="9" t="s">
        <v>189</v>
      </c>
      <c r="F74" s="9" t="s">
        <v>190</v>
      </c>
      <c r="G74" s="9" t="n">
        <f aca="false">23.574+3.3</f>
        <v>26.874</v>
      </c>
      <c r="H74" s="9" t="s">
        <v>36</v>
      </c>
      <c r="I74" s="9"/>
      <c r="J74" s="9"/>
      <c r="K74" s="9" t="s">
        <v>191</v>
      </c>
      <c r="L74" s="0" t="n">
        <v>2007</v>
      </c>
      <c r="M74" s="9" t="s">
        <v>38</v>
      </c>
      <c r="N74" s="11" t="n">
        <v>31.061438</v>
      </c>
      <c r="O74" s="11" t="n">
        <v>76.287018</v>
      </c>
      <c r="P74" s="9" t="s">
        <v>39</v>
      </c>
      <c r="Q74" s="9" t="s">
        <v>40</v>
      </c>
      <c r="R74" s="9" t="s">
        <v>41</v>
      </c>
      <c r="S74" s="9" t="s">
        <v>192</v>
      </c>
      <c r="T74" s="9" t="s">
        <v>112</v>
      </c>
      <c r="U74" s="9" t="n">
        <v>7</v>
      </c>
      <c r="V74" s="9" t="n">
        <v>7</v>
      </c>
      <c r="W74" s="9" t="n">
        <v>741</v>
      </c>
      <c r="X74" s="9"/>
      <c r="Y74" s="9" t="n">
        <f aca="false">W74+X74</f>
        <v>741</v>
      </c>
      <c r="Z74" s="9"/>
      <c r="AA74" s="12" t="n">
        <f aca="false">AB74/G74</f>
        <v>0.221775693979311</v>
      </c>
      <c r="AB74" s="12" t="n">
        <v>5.96</v>
      </c>
      <c r="AC74" s="12" t="n">
        <f aca="false">G74/V74</f>
        <v>3.83914285714286</v>
      </c>
      <c r="AD74" s="12" t="n">
        <f aca="false">AB74/V74</f>
        <v>0.851428571428571</v>
      </c>
    </row>
    <row r="75" customFormat="false" ht="13.8" hidden="false" customHeight="false" outlineLevel="0" collapsed="false">
      <c r="A75" s="9" t="n">
        <v>74</v>
      </c>
      <c r="B75" s="9" t="s">
        <v>193</v>
      </c>
      <c r="C75" s="9" t="s">
        <v>60</v>
      </c>
      <c r="D75" s="9" t="s">
        <v>194</v>
      </c>
      <c r="E75" s="9" t="s">
        <v>195</v>
      </c>
      <c r="F75" s="9" t="s">
        <v>196</v>
      </c>
      <c r="G75" s="9" t="n">
        <v>9.2</v>
      </c>
      <c r="H75" s="9" t="s">
        <v>197</v>
      </c>
      <c r="I75" s="9" t="n">
        <f aca="false">G75*0.47</f>
        <v>4.324</v>
      </c>
      <c r="J75" s="9" t="s">
        <v>168</v>
      </c>
      <c r="K75" s="9" t="s">
        <v>198</v>
      </c>
      <c r="L75" s="10" t="s">
        <v>51</v>
      </c>
      <c r="M75" s="9" t="s">
        <v>38</v>
      </c>
      <c r="N75" s="11" t="n">
        <v>7.5</v>
      </c>
      <c r="O75" s="11" t="n">
        <v>3.9</v>
      </c>
      <c r="P75" s="9" t="s">
        <v>39</v>
      </c>
      <c r="Q75" s="9" t="s">
        <v>53</v>
      </c>
      <c r="R75" s="9" t="s">
        <v>41</v>
      </c>
      <c r="S75" s="9" t="s">
        <v>49</v>
      </c>
      <c r="T75" s="9" t="s">
        <v>43</v>
      </c>
      <c r="U75" s="9" t="n">
        <v>16</v>
      </c>
      <c r="V75" s="9" t="n">
        <v>1</v>
      </c>
      <c r="W75" s="9" t="n">
        <v>4444.44444444444</v>
      </c>
      <c r="X75" s="9"/>
      <c r="Y75" s="9" t="n">
        <f aca="false">W75+X75</f>
        <v>4444.44444444444</v>
      </c>
      <c r="Z75" s="9"/>
      <c r="AA75" s="12" t="n">
        <v>0.15</v>
      </c>
      <c r="AB75" s="12"/>
      <c r="AC75" s="12" t="n">
        <f aca="false">(I75/(1+AA75))/V75</f>
        <v>3.76</v>
      </c>
      <c r="AD75" s="12" t="n">
        <f aca="false">AC75*AA75</f>
        <v>0.564</v>
      </c>
    </row>
    <row r="76" customFormat="false" ht="13.8" hidden="false" customHeight="false" outlineLevel="0" collapsed="false">
      <c r="A76" s="9" t="n">
        <v>75</v>
      </c>
      <c r="B76" s="9" t="s">
        <v>193</v>
      </c>
      <c r="C76" s="9" t="s">
        <v>60</v>
      </c>
      <c r="D76" s="9" t="s">
        <v>199</v>
      </c>
      <c r="E76" s="9" t="s">
        <v>195</v>
      </c>
      <c r="F76" s="9" t="s">
        <v>196</v>
      </c>
      <c r="G76" s="9" t="n">
        <v>10.9</v>
      </c>
      <c r="H76" s="9" t="s">
        <v>197</v>
      </c>
      <c r="I76" s="9" t="n">
        <f aca="false">G76*0.47</f>
        <v>5.123</v>
      </c>
      <c r="J76" s="9" t="s">
        <v>168</v>
      </c>
      <c r="K76" s="9" t="s">
        <v>198</v>
      </c>
      <c r="L76" s="10" t="s">
        <v>51</v>
      </c>
      <c r="M76" s="9" t="s">
        <v>38</v>
      </c>
      <c r="N76" s="11" t="n">
        <v>7.5</v>
      </c>
      <c r="O76" s="11" t="n">
        <v>3.9</v>
      </c>
      <c r="P76" s="9" t="s">
        <v>39</v>
      </c>
      <c r="Q76" s="9" t="s">
        <v>53</v>
      </c>
      <c r="R76" s="9" t="s">
        <v>41</v>
      </c>
      <c r="S76" s="9" t="s">
        <v>49</v>
      </c>
      <c r="T76" s="9" t="s">
        <v>43</v>
      </c>
      <c r="U76" s="9" t="n">
        <v>16</v>
      </c>
      <c r="V76" s="9" t="n">
        <v>1</v>
      </c>
      <c r="W76" s="9" t="n">
        <v>4444.44444444444</v>
      </c>
      <c r="X76" s="9"/>
      <c r="Y76" s="9" t="n">
        <f aca="false">W76+X76</f>
        <v>4444.44444444444</v>
      </c>
      <c r="Z76" s="9"/>
      <c r="AA76" s="12" t="n">
        <v>0.15</v>
      </c>
      <c r="AB76" s="12"/>
      <c r="AC76" s="12" t="n">
        <f aca="false">(I76/(1+AA76))/V76</f>
        <v>4.45478260869565</v>
      </c>
      <c r="AD76" s="12" t="n">
        <f aca="false">AC76*AA76</f>
        <v>0.668217391304348</v>
      </c>
    </row>
    <row r="77" customFormat="false" ht="13.8" hidden="false" customHeight="false" outlineLevel="0" collapsed="false">
      <c r="A77" s="9" t="n">
        <v>76</v>
      </c>
      <c r="B77" s="9" t="s">
        <v>193</v>
      </c>
      <c r="C77" s="9" t="s">
        <v>60</v>
      </c>
      <c r="D77" s="9" t="s">
        <v>200</v>
      </c>
      <c r="E77" s="9" t="s">
        <v>195</v>
      </c>
      <c r="F77" s="9" t="s">
        <v>196</v>
      </c>
      <c r="G77" s="9" t="n">
        <v>7.8</v>
      </c>
      <c r="H77" s="9" t="s">
        <v>197</v>
      </c>
      <c r="I77" s="9" t="n">
        <f aca="false">G77*0.47</f>
        <v>3.666</v>
      </c>
      <c r="J77" s="9" t="s">
        <v>168</v>
      </c>
      <c r="K77" s="9" t="s">
        <v>198</v>
      </c>
      <c r="L77" s="10" t="s">
        <v>51</v>
      </c>
      <c r="M77" s="9" t="s">
        <v>38</v>
      </c>
      <c r="N77" s="11" t="n">
        <v>7.5</v>
      </c>
      <c r="O77" s="11" t="n">
        <v>3.9</v>
      </c>
      <c r="P77" s="9" t="s">
        <v>39</v>
      </c>
      <c r="Q77" s="9" t="s">
        <v>53</v>
      </c>
      <c r="R77" s="9" t="s">
        <v>41</v>
      </c>
      <c r="S77" s="9" t="s">
        <v>49</v>
      </c>
      <c r="T77" s="9" t="s">
        <v>43</v>
      </c>
      <c r="U77" s="9" t="n">
        <v>16</v>
      </c>
      <c r="V77" s="9" t="n">
        <v>1</v>
      </c>
      <c r="W77" s="9" t="n">
        <v>4444.44444444444</v>
      </c>
      <c r="X77" s="9"/>
      <c r="Y77" s="9" t="n">
        <f aca="false">W77+X77</f>
        <v>4444.44444444444</v>
      </c>
      <c r="Z77" s="9"/>
      <c r="AA77" s="12" t="n">
        <v>0.075</v>
      </c>
      <c r="AB77" s="12"/>
      <c r="AC77" s="12" t="n">
        <f aca="false">(I77/(1+AA77))/V77</f>
        <v>3.41023255813953</v>
      </c>
      <c r="AD77" s="12" t="n">
        <f aca="false">AC77*AA77</f>
        <v>0.255767441860465</v>
      </c>
    </row>
    <row r="78" customFormat="false" ht="13.8" hidden="false" customHeight="false" outlineLevel="0" collapsed="false">
      <c r="A78" s="9" t="n">
        <v>77</v>
      </c>
      <c r="B78" s="9" t="s">
        <v>193</v>
      </c>
      <c r="C78" s="9" t="s">
        <v>60</v>
      </c>
      <c r="D78" s="9" t="s">
        <v>201</v>
      </c>
      <c r="E78" s="9" t="s">
        <v>195</v>
      </c>
      <c r="F78" s="9" t="s">
        <v>196</v>
      </c>
      <c r="G78" s="9" t="n">
        <v>9</v>
      </c>
      <c r="H78" s="9" t="s">
        <v>197</v>
      </c>
      <c r="I78" s="9" t="n">
        <f aca="false">G78*0.47</f>
        <v>4.23</v>
      </c>
      <c r="J78" s="9" t="s">
        <v>168</v>
      </c>
      <c r="K78" s="9" t="s">
        <v>198</v>
      </c>
      <c r="L78" s="10" t="s">
        <v>51</v>
      </c>
      <c r="M78" s="9" t="s">
        <v>38</v>
      </c>
      <c r="N78" s="11" t="n">
        <v>7.5</v>
      </c>
      <c r="O78" s="11" t="n">
        <v>3.9</v>
      </c>
      <c r="P78" s="9" t="s">
        <v>39</v>
      </c>
      <c r="Q78" s="9" t="s">
        <v>53</v>
      </c>
      <c r="R78" s="9" t="s">
        <v>41</v>
      </c>
      <c r="S78" s="9" t="s">
        <v>49</v>
      </c>
      <c r="T78" s="9" t="s">
        <v>43</v>
      </c>
      <c r="U78" s="9" t="n">
        <v>16</v>
      </c>
      <c r="V78" s="9" t="n">
        <v>1</v>
      </c>
      <c r="W78" s="9" t="n">
        <v>4444.44444444444</v>
      </c>
      <c r="X78" s="9"/>
      <c r="Y78" s="9" t="n">
        <f aca="false">W78+X78</f>
        <v>4444.44444444444</v>
      </c>
      <c r="Z78" s="9"/>
      <c r="AA78" s="12" t="n">
        <v>0.075</v>
      </c>
      <c r="AB78" s="12"/>
      <c r="AC78" s="12" t="n">
        <f aca="false">(I78/(1+AA78))/V78</f>
        <v>3.93488372093023</v>
      </c>
      <c r="AD78" s="12" t="n">
        <f aca="false">AC78*AA78</f>
        <v>0.295116279069767</v>
      </c>
    </row>
    <row r="79" customFormat="false" ht="13.8" hidden="false" customHeight="false" outlineLevel="0" collapsed="false">
      <c r="A79" s="9" t="n">
        <v>78</v>
      </c>
      <c r="B79" s="9" t="s">
        <v>30</v>
      </c>
      <c r="C79" s="9" t="s">
        <v>92</v>
      </c>
      <c r="D79" s="9" t="s">
        <v>202</v>
      </c>
      <c r="E79" s="9" t="s">
        <v>203</v>
      </c>
      <c r="F79" s="9" t="s">
        <v>204</v>
      </c>
      <c r="G79" s="9" t="n">
        <f aca="false">21247/1000</f>
        <v>21.247</v>
      </c>
      <c r="H79" s="9" t="s">
        <v>36</v>
      </c>
      <c r="I79" s="9"/>
      <c r="J79" s="9"/>
      <c r="K79" s="9" t="s">
        <v>205</v>
      </c>
      <c r="L79" s="0" t="n">
        <v>2009</v>
      </c>
      <c r="M79" s="9" t="s">
        <v>38</v>
      </c>
      <c r="N79" s="11" t="n">
        <v>-45.4166667</v>
      </c>
      <c r="O79" s="11" t="n">
        <v>-72</v>
      </c>
      <c r="P79" s="9" t="s">
        <v>97</v>
      </c>
      <c r="Q79" s="9" t="s">
        <v>98</v>
      </c>
      <c r="R79" s="9" t="s">
        <v>99</v>
      </c>
      <c r="S79" s="9" t="s">
        <v>206</v>
      </c>
      <c r="T79" s="9" t="s">
        <v>207</v>
      </c>
      <c r="U79" s="9" t="n">
        <v>18</v>
      </c>
      <c r="V79" s="9" t="n">
        <v>18</v>
      </c>
      <c r="W79" s="9" t="n">
        <v>400</v>
      </c>
      <c r="X79" s="9"/>
      <c r="Y79" s="9" t="n">
        <f aca="false">W79+X79</f>
        <v>400</v>
      </c>
      <c r="Z79" s="9"/>
      <c r="AA79" s="12" t="n">
        <f aca="false">AB79/G79</f>
        <v>0.441097566715301</v>
      </c>
      <c r="AB79" s="12" t="n">
        <f aca="false">9372/1000</f>
        <v>9.372</v>
      </c>
      <c r="AC79" s="12" t="n">
        <f aca="false">G79/V79</f>
        <v>1.18038888888889</v>
      </c>
      <c r="AD79" s="12" t="n">
        <f aca="false">AC79*AA79</f>
        <v>0.520666666666667</v>
      </c>
    </row>
    <row r="80" customFormat="false" ht="13.8" hidden="false" customHeight="false" outlineLevel="0" collapsed="false">
      <c r="A80" s="9" t="n">
        <v>79</v>
      </c>
      <c r="B80" s="9" t="s">
        <v>30</v>
      </c>
      <c r="C80" s="9" t="s">
        <v>208</v>
      </c>
      <c r="D80" s="9" t="s">
        <v>209</v>
      </c>
      <c r="E80" s="9" t="s">
        <v>210</v>
      </c>
      <c r="F80" s="9" t="s">
        <v>211</v>
      </c>
      <c r="G80" s="9" t="n">
        <v>30.3</v>
      </c>
      <c r="H80" s="9" t="s">
        <v>36</v>
      </c>
      <c r="I80" s="9"/>
      <c r="J80" s="9"/>
      <c r="K80" s="9" t="s">
        <v>212</v>
      </c>
      <c r="L80" s="0" t="n">
        <v>2011.5</v>
      </c>
      <c r="M80" s="9" t="s">
        <v>38</v>
      </c>
      <c r="N80" s="11" t="n">
        <v>-10.775235</v>
      </c>
      <c r="O80" s="11" t="n">
        <v>-75.2215025</v>
      </c>
      <c r="P80" s="9" t="s">
        <v>39</v>
      </c>
      <c r="Q80" s="9" t="s">
        <v>53</v>
      </c>
      <c r="R80" s="9" t="s">
        <v>213</v>
      </c>
      <c r="S80" s="9" t="s">
        <v>214</v>
      </c>
      <c r="T80" s="9" t="s">
        <v>207</v>
      </c>
      <c r="U80" s="9" t="n">
        <v>15</v>
      </c>
      <c r="V80" s="9" t="n">
        <v>15</v>
      </c>
      <c r="W80" s="9" t="n">
        <v>176</v>
      </c>
      <c r="X80" s="9" t="n">
        <v>3830</v>
      </c>
      <c r="Y80" s="9" t="n">
        <f aca="false">W80+X80</f>
        <v>4006</v>
      </c>
      <c r="Z80" s="9"/>
      <c r="AA80" s="12" t="n">
        <v>0.231023102310231</v>
      </c>
      <c r="AB80" s="12" t="n">
        <v>7</v>
      </c>
      <c r="AC80" s="12" t="n">
        <f aca="false">G80/V80</f>
        <v>2.02</v>
      </c>
      <c r="AD80" s="12" t="n">
        <v>0.466666666666667</v>
      </c>
    </row>
    <row r="81" customFormat="false" ht="13.8" hidden="false" customHeight="false" outlineLevel="0" collapsed="false">
      <c r="A81" s="9" t="n">
        <v>80</v>
      </c>
      <c r="B81" s="9" t="s">
        <v>30</v>
      </c>
      <c r="C81" s="9" t="s">
        <v>208</v>
      </c>
      <c r="D81" s="9" t="s">
        <v>215</v>
      </c>
      <c r="E81" s="9" t="s">
        <v>210</v>
      </c>
      <c r="F81" s="9" t="s">
        <v>216</v>
      </c>
      <c r="G81" s="9" t="n">
        <v>62</v>
      </c>
      <c r="H81" s="9" t="s">
        <v>36</v>
      </c>
      <c r="I81" s="9"/>
      <c r="J81" s="9"/>
      <c r="K81" s="9" t="s">
        <v>212</v>
      </c>
      <c r="L81" s="0" t="n">
        <v>2011.5</v>
      </c>
      <c r="M81" s="9" t="s">
        <v>38</v>
      </c>
      <c r="N81" s="11" t="n">
        <v>-10.7655728849333</v>
      </c>
      <c r="O81" s="11" t="n">
        <v>-75.2603960683692</v>
      </c>
      <c r="P81" s="9" t="s">
        <v>39</v>
      </c>
      <c r="Q81" s="9" t="s">
        <v>53</v>
      </c>
      <c r="R81" s="9" t="s">
        <v>213</v>
      </c>
      <c r="S81" s="9" t="s">
        <v>214</v>
      </c>
      <c r="T81" s="9" t="s">
        <v>207</v>
      </c>
      <c r="U81" s="9" t="n">
        <v>15</v>
      </c>
      <c r="V81" s="9" t="n">
        <v>15</v>
      </c>
      <c r="W81" s="9" t="n">
        <v>124</v>
      </c>
      <c r="X81" s="9" t="n">
        <v>4840</v>
      </c>
      <c r="Y81" s="9" t="n">
        <f aca="false">W81+X81</f>
        <v>4964</v>
      </c>
      <c r="Z81" s="9"/>
      <c r="AA81" s="12" t="n">
        <v>0.220967741935484</v>
      </c>
      <c r="AB81" s="12" t="n">
        <v>13.7</v>
      </c>
      <c r="AC81" s="12" t="n">
        <f aca="false">G81/V81</f>
        <v>4.13333333333333</v>
      </c>
      <c r="AD81" s="12" t="n">
        <v>0.913333333333333</v>
      </c>
    </row>
    <row r="82" customFormat="false" ht="13.8" hidden="false" customHeight="false" outlineLevel="0" collapsed="false">
      <c r="A82" s="9" t="n">
        <v>81</v>
      </c>
      <c r="B82" s="9" t="s">
        <v>30</v>
      </c>
      <c r="C82" s="9" t="s">
        <v>208</v>
      </c>
      <c r="D82" s="9" t="s">
        <v>217</v>
      </c>
      <c r="E82" s="9" t="s">
        <v>210</v>
      </c>
      <c r="F82" s="9" t="s">
        <v>218</v>
      </c>
      <c r="G82" s="9" t="n">
        <v>53.5</v>
      </c>
      <c r="H82" s="9" t="s">
        <v>36</v>
      </c>
      <c r="I82" s="9"/>
      <c r="J82" s="9"/>
      <c r="K82" s="9" t="s">
        <v>212</v>
      </c>
      <c r="L82" s="0" t="n">
        <v>2011.5</v>
      </c>
      <c r="M82" s="9" t="s">
        <v>38</v>
      </c>
      <c r="N82" s="11" t="n">
        <v>-10.7087516782935</v>
      </c>
      <c r="O82" s="11" t="n">
        <v>-75.2571375656233</v>
      </c>
      <c r="P82" s="9" t="s">
        <v>39</v>
      </c>
      <c r="Q82" s="9" t="s">
        <v>53</v>
      </c>
      <c r="R82" s="9" t="s">
        <v>213</v>
      </c>
      <c r="S82" s="9" t="s">
        <v>214</v>
      </c>
      <c r="T82" s="9" t="s">
        <v>207</v>
      </c>
      <c r="U82" s="9" t="n">
        <v>7</v>
      </c>
      <c r="V82" s="9" t="n">
        <v>7</v>
      </c>
      <c r="W82" s="9" t="n">
        <v>472</v>
      </c>
      <c r="X82" s="9" t="n">
        <v>2950</v>
      </c>
      <c r="Y82" s="9" t="n">
        <f aca="false">W82+X82</f>
        <v>3422</v>
      </c>
      <c r="Z82" s="9"/>
      <c r="AA82" s="12" t="n">
        <v>0.229906542056075</v>
      </c>
      <c r="AB82" s="12" t="n">
        <v>12.3</v>
      </c>
      <c r="AC82" s="12" t="n">
        <f aca="false">G82/V82</f>
        <v>7.64285714285714</v>
      </c>
      <c r="AD82" s="12" t="n">
        <v>1.75714285714286</v>
      </c>
    </row>
    <row r="83" customFormat="false" ht="13.8" hidden="false" customHeight="false" outlineLevel="0" collapsed="false">
      <c r="A83" s="9" t="n">
        <v>82</v>
      </c>
      <c r="B83" s="9" t="s">
        <v>30</v>
      </c>
      <c r="C83" s="9" t="s">
        <v>92</v>
      </c>
      <c r="D83" s="9" t="s">
        <v>219</v>
      </c>
      <c r="E83" s="9" t="s">
        <v>220</v>
      </c>
      <c r="F83" s="9" t="s">
        <v>221</v>
      </c>
      <c r="G83" s="9" t="n">
        <v>78.71</v>
      </c>
      <c r="H83" s="9" t="s">
        <v>36</v>
      </c>
      <c r="I83" s="9"/>
      <c r="J83" s="9"/>
      <c r="K83" s="9" t="s">
        <v>222</v>
      </c>
      <c r="L83" s="0" t="n">
        <v>2005</v>
      </c>
      <c r="M83" s="9" t="s">
        <v>38</v>
      </c>
      <c r="N83" s="11" t="n">
        <v>43.0166667</v>
      </c>
      <c r="O83" s="11" t="n">
        <v>-7.66666666666666</v>
      </c>
      <c r="P83" s="9" t="s">
        <v>174</v>
      </c>
      <c r="Q83" s="9" t="s">
        <v>175</v>
      </c>
      <c r="R83" s="9" t="s">
        <v>174</v>
      </c>
      <c r="S83" s="9" t="s">
        <v>223</v>
      </c>
      <c r="T83" s="9" t="s">
        <v>101</v>
      </c>
      <c r="U83" s="9" t="n">
        <v>11</v>
      </c>
      <c r="V83" s="9" t="n">
        <v>11</v>
      </c>
      <c r="W83" s="9" t="n">
        <v>2500</v>
      </c>
      <c r="X83" s="9"/>
      <c r="Y83" s="9" t="n">
        <f aca="false">W83+X83</f>
        <v>2500</v>
      </c>
      <c r="Z83" s="9"/>
      <c r="AA83" s="12" t="n">
        <f aca="false">AB83/G83</f>
        <v>0.341633845762927</v>
      </c>
      <c r="AB83" s="12" t="n">
        <v>26.89</v>
      </c>
      <c r="AC83" s="12" t="n">
        <f aca="false">G83/V83</f>
        <v>7.15545454545455</v>
      </c>
      <c r="AD83" s="12" t="n">
        <f aca="false">AB83/V83</f>
        <v>2.44454545454545</v>
      </c>
    </row>
    <row r="84" customFormat="false" ht="13.8" hidden="false" customHeight="false" outlineLevel="0" collapsed="false">
      <c r="A84" s="9" t="n">
        <v>83</v>
      </c>
      <c r="B84" s="9" t="s">
        <v>30</v>
      </c>
      <c r="C84" s="9" t="s">
        <v>92</v>
      </c>
      <c r="D84" s="9" t="s">
        <v>224</v>
      </c>
      <c r="E84" s="9" t="s">
        <v>220</v>
      </c>
      <c r="F84" s="9" t="s">
        <v>221</v>
      </c>
      <c r="G84" s="9" t="n">
        <v>34.49</v>
      </c>
      <c r="H84" s="9" t="s">
        <v>36</v>
      </c>
      <c r="I84" s="9"/>
      <c r="J84" s="9"/>
      <c r="K84" s="9" t="s">
        <v>222</v>
      </c>
      <c r="L84" s="0" t="n">
        <v>2005</v>
      </c>
      <c r="M84" s="9" t="s">
        <v>38</v>
      </c>
      <c r="N84" s="11" t="n">
        <v>43.0166667</v>
      </c>
      <c r="O84" s="11" t="n">
        <v>-7.66666666666666</v>
      </c>
      <c r="P84" s="9" t="s">
        <v>174</v>
      </c>
      <c r="Q84" s="9" t="s">
        <v>175</v>
      </c>
      <c r="R84" s="9" t="s">
        <v>174</v>
      </c>
      <c r="S84" s="9" t="s">
        <v>223</v>
      </c>
      <c r="T84" s="9" t="s">
        <v>101</v>
      </c>
      <c r="U84" s="9" t="n">
        <v>11</v>
      </c>
      <c r="V84" s="9" t="n">
        <v>11</v>
      </c>
      <c r="W84" s="9" t="n">
        <v>833</v>
      </c>
      <c r="X84" s="9"/>
      <c r="Y84" s="9" t="n">
        <f aca="false">W84+X84</f>
        <v>833</v>
      </c>
      <c r="Z84" s="9"/>
      <c r="AA84" s="12" t="n">
        <f aca="false">AB84/G84</f>
        <v>0.329080893012467</v>
      </c>
      <c r="AB84" s="12" t="n">
        <v>11.35</v>
      </c>
      <c r="AC84" s="12" t="n">
        <f aca="false">G84/V84</f>
        <v>3.13545454545455</v>
      </c>
      <c r="AD84" s="12" t="n">
        <f aca="false">AB84/V84</f>
        <v>1.03181818181818</v>
      </c>
    </row>
    <row r="85" customFormat="false" ht="13.8" hidden="false" customHeight="false" outlineLevel="0" collapsed="false">
      <c r="A85" s="9" t="n">
        <v>84</v>
      </c>
      <c r="B85" s="9" t="s">
        <v>30</v>
      </c>
      <c r="C85" s="9" t="s">
        <v>92</v>
      </c>
      <c r="D85" s="9" t="s">
        <v>225</v>
      </c>
      <c r="E85" s="9" t="s">
        <v>220</v>
      </c>
      <c r="F85" s="9" t="s">
        <v>221</v>
      </c>
      <c r="G85" s="9" t="n">
        <v>15.63</v>
      </c>
      <c r="H85" s="9" t="s">
        <v>36</v>
      </c>
      <c r="I85" s="9"/>
      <c r="J85" s="9"/>
      <c r="K85" s="9" t="s">
        <v>222</v>
      </c>
      <c r="L85" s="0" t="n">
        <v>2005</v>
      </c>
      <c r="M85" s="9" t="s">
        <v>38</v>
      </c>
      <c r="N85" s="11" t="n">
        <v>43.0166667</v>
      </c>
      <c r="O85" s="11" t="n">
        <v>-7.66666666666666</v>
      </c>
      <c r="P85" s="9" t="s">
        <v>174</v>
      </c>
      <c r="Q85" s="9" t="s">
        <v>175</v>
      </c>
      <c r="R85" s="9" t="s">
        <v>174</v>
      </c>
      <c r="S85" s="9" t="s">
        <v>223</v>
      </c>
      <c r="T85" s="9" t="s">
        <v>101</v>
      </c>
      <c r="U85" s="9" t="n">
        <v>11</v>
      </c>
      <c r="V85" s="9" t="n">
        <v>11</v>
      </c>
      <c r="W85" s="9" t="n">
        <v>2500</v>
      </c>
      <c r="X85" s="9"/>
      <c r="Y85" s="9" t="n">
        <f aca="false">W85+X85</f>
        <v>2500</v>
      </c>
      <c r="Z85" s="9"/>
      <c r="AA85" s="12" t="n">
        <f aca="false">AB85/G85</f>
        <v>0.298784388995521</v>
      </c>
      <c r="AB85" s="12" t="n">
        <v>4.67</v>
      </c>
      <c r="AC85" s="12" t="n">
        <f aca="false">G85/V85</f>
        <v>1.42090909090909</v>
      </c>
      <c r="AD85" s="12" t="n">
        <f aca="false">AB85/V85</f>
        <v>0.424545454545455</v>
      </c>
    </row>
    <row r="86" customFormat="false" ht="13.8" hidden="false" customHeight="false" outlineLevel="0" collapsed="false">
      <c r="A86" s="9" t="n">
        <v>85</v>
      </c>
      <c r="B86" s="9" t="s">
        <v>30</v>
      </c>
      <c r="C86" s="9" t="s">
        <v>92</v>
      </c>
      <c r="D86" s="9" t="s">
        <v>226</v>
      </c>
      <c r="E86" s="9" t="s">
        <v>220</v>
      </c>
      <c r="F86" s="9" t="s">
        <v>221</v>
      </c>
      <c r="G86" s="9" t="n">
        <v>8.04</v>
      </c>
      <c r="H86" s="9" t="s">
        <v>36</v>
      </c>
      <c r="I86" s="9"/>
      <c r="J86" s="9"/>
      <c r="K86" s="9" t="s">
        <v>222</v>
      </c>
      <c r="L86" s="0" t="n">
        <v>2005</v>
      </c>
      <c r="M86" s="9" t="s">
        <v>38</v>
      </c>
      <c r="N86" s="11" t="n">
        <v>43.0166667</v>
      </c>
      <c r="O86" s="11" t="n">
        <v>-7.66666666666666</v>
      </c>
      <c r="P86" s="9" t="s">
        <v>174</v>
      </c>
      <c r="Q86" s="9" t="s">
        <v>175</v>
      </c>
      <c r="R86" s="9" t="s">
        <v>174</v>
      </c>
      <c r="S86" s="9" t="s">
        <v>223</v>
      </c>
      <c r="T86" s="9" t="s">
        <v>101</v>
      </c>
      <c r="U86" s="9" t="n">
        <v>11</v>
      </c>
      <c r="V86" s="9" t="n">
        <v>11</v>
      </c>
      <c r="W86" s="9" t="n">
        <v>833</v>
      </c>
      <c r="X86" s="9"/>
      <c r="Y86" s="9" t="n">
        <f aca="false">W86+X86</f>
        <v>833</v>
      </c>
      <c r="Z86" s="9"/>
      <c r="AA86" s="12" t="n">
        <f aca="false">AB86/G86</f>
        <v>0.284825870646766</v>
      </c>
      <c r="AB86" s="12" t="n">
        <v>2.29</v>
      </c>
      <c r="AC86" s="12" t="n">
        <f aca="false">G86/V86</f>
        <v>0.730909090909091</v>
      </c>
      <c r="AD86" s="12" t="n">
        <f aca="false">AB86/V86</f>
        <v>0.208181818181818</v>
      </c>
    </row>
    <row r="87" customFormat="false" ht="13.8" hidden="false" customHeight="false" outlineLevel="0" collapsed="false">
      <c r="A87" s="9" t="n">
        <v>86</v>
      </c>
      <c r="B87" s="9" t="s">
        <v>30</v>
      </c>
      <c r="C87" s="9" t="s">
        <v>60</v>
      </c>
      <c r="D87" s="9" t="s">
        <v>227</v>
      </c>
      <c r="E87" s="9" t="s">
        <v>228</v>
      </c>
      <c r="F87" s="9" t="s">
        <v>229</v>
      </c>
      <c r="G87" s="9" t="n">
        <v>23.6</v>
      </c>
      <c r="H87" s="9" t="s">
        <v>230</v>
      </c>
      <c r="I87" s="9" t="n">
        <f aca="false">G87*0.47</f>
        <v>11.092</v>
      </c>
      <c r="J87" s="9" t="s">
        <v>36</v>
      </c>
      <c r="K87" s="9" t="s">
        <v>231</v>
      </c>
      <c r="L87" s="0" t="n">
        <v>1993.5</v>
      </c>
      <c r="M87" s="9" t="s">
        <v>38</v>
      </c>
      <c r="N87" s="11" t="n">
        <v>18.2166667</v>
      </c>
      <c r="O87" s="11" t="n">
        <v>-73.7</v>
      </c>
      <c r="P87" s="9" t="s">
        <v>39</v>
      </c>
      <c r="Q87" s="9" t="s">
        <v>53</v>
      </c>
      <c r="R87" s="9" t="s">
        <v>41</v>
      </c>
      <c r="S87" s="9" t="s">
        <v>232</v>
      </c>
      <c r="T87" s="9" t="s">
        <v>233</v>
      </c>
      <c r="U87" s="9" t="n">
        <v>5</v>
      </c>
      <c r="V87" s="9" t="n">
        <v>5</v>
      </c>
      <c r="W87" s="9" t="n">
        <v>25000</v>
      </c>
      <c r="X87" s="9"/>
      <c r="Y87" s="9" t="n">
        <f aca="false">W87+X87</f>
        <v>25000</v>
      </c>
      <c r="Z87" s="9"/>
      <c r="AA87" s="12" t="n">
        <v>0.24</v>
      </c>
      <c r="AB87" s="12"/>
      <c r="AC87" s="12" t="n">
        <f aca="false">I87/V87</f>
        <v>2.2184</v>
      </c>
      <c r="AD87" s="12" t="n">
        <f aca="false">(I87/V87)*AA87</f>
        <v>0.532416</v>
      </c>
    </row>
    <row r="88" customFormat="false" ht="13.8" hidden="false" customHeight="false" outlineLevel="0" collapsed="false">
      <c r="A88" s="9" t="n">
        <v>87</v>
      </c>
      <c r="B88" s="9" t="s">
        <v>30</v>
      </c>
      <c r="C88" s="9" t="s">
        <v>60</v>
      </c>
      <c r="D88" s="9" t="s">
        <v>234</v>
      </c>
      <c r="E88" s="9" t="s">
        <v>228</v>
      </c>
      <c r="F88" s="9" t="s">
        <v>229</v>
      </c>
      <c r="G88" s="9" t="n">
        <v>46.9</v>
      </c>
      <c r="H88" s="9" t="s">
        <v>230</v>
      </c>
      <c r="I88" s="9" t="n">
        <f aca="false">G88*0.47</f>
        <v>22.043</v>
      </c>
      <c r="J88" s="9" t="s">
        <v>36</v>
      </c>
      <c r="K88" s="9" t="s">
        <v>231</v>
      </c>
      <c r="L88" s="0" t="n">
        <v>1993.5</v>
      </c>
      <c r="M88" s="9" t="s">
        <v>38</v>
      </c>
      <c r="N88" s="11" t="n">
        <v>18.2166667</v>
      </c>
      <c r="O88" s="11" t="n">
        <v>-73.7</v>
      </c>
      <c r="P88" s="9" t="s">
        <v>39</v>
      </c>
      <c r="Q88" s="9" t="s">
        <v>53</v>
      </c>
      <c r="R88" s="9" t="s">
        <v>41</v>
      </c>
      <c r="S88" s="9" t="s">
        <v>232</v>
      </c>
      <c r="T88" s="9" t="s">
        <v>233</v>
      </c>
      <c r="U88" s="9" t="n">
        <v>5</v>
      </c>
      <c r="V88" s="9" t="n">
        <v>5</v>
      </c>
      <c r="W88" s="9" t="n">
        <v>25000</v>
      </c>
      <c r="X88" s="9"/>
      <c r="Y88" s="9" t="n">
        <f aca="false">W88+X88</f>
        <v>25000</v>
      </c>
      <c r="Z88" s="9"/>
      <c r="AA88" s="12" t="n">
        <v>0.24</v>
      </c>
      <c r="AB88" s="12"/>
      <c r="AC88" s="12" t="n">
        <f aca="false">I88/V88</f>
        <v>4.4086</v>
      </c>
      <c r="AD88" s="12" t="n">
        <f aca="false">(I88/V88)*AA88</f>
        <v>1.058064</v>
      </c>
    </row>
    <row r="89" customFormat="false" ht="13.8" hidden="false" customHeight="false" outlineLevel="0" collapsed="false">
      <c r="A89" s="9" t="n">
        <v>88</v>
      </c>
      <c r="B89" s="9" t="s">
        <v>30</v>
      </c>
      <c r="C89" s="9" t="s">
        <v>60</v>
      </c>
      <c r="D89" s="9" t="s">
        <v>235</v>
      </c>
      <c r="E89" s="9" t="s">
        <v>228</v>
      </c>
      <c r="F89" s="9" t="s">
        <v>229</v>
      </c>
      <c r="G89" s="9" t="n">
        <v>42.9</v>
      </c>
      <c r="H89" s="9" t="s">
        <v>230</v>
      </c>
      <c r="I89" s="9" t="n">
        <f aca="false">G89*0.47</f>
        <v>20.163</v>
      </c>
      <c r="J89" s="9" t="s">
        <v>36</v>
      </c>
      <c r="K89" s="9" t="s">
        <v>231</v>
      </c>
      <c r="L89" s="0" t="n">
        <v>1993.5</v>
      </c>
      <c r="M89" s="9" t="s">
        <v>38</v>
      </c>
      <c r="N89" s="11" t="n">
        <v>18.2166667</v>
      </c>
      <c r="O89" s="11" t="n">
        <v>-73.7</v>
      </c>
      <c r="P89" s="9" t="s">
        <v>39</v>
      </c>
      <c r="Q89" s="9" t="s">
        <v>53</v>
      </c>
      <c r="R89" s="9" t="s">
        <v>41</v>
      </c>
      <c r="S89" s="9" t="s">
        <v>232</v>
      </c>
      <c r="T89" s="9" t="s">
        <v>233</v>
      </c>
      <c r="U89" s="9" t="n">
        <v>5</v>
      </c>
      <c r="V89" s="9" t="n">
        <v>5</v>
      </c>
      <c r="W89" s="9" t="n">
        <v>25000</v>
      </c>
      <c r="X89" s="9"/>
      <c r="Y89" s="9" t="n">
        <f aca="false">W89+X89</f>
        <v>25000</v>
      </c>
      <c r="Z89" s="9"/>
      <c r="AA89" s="12" t="n">
        <v>0.24</v>
      </c>
      <c r="AB89" s="12"/>
      <c r="AC89" s="12" t="n">
        <f aca="false">I89/V89</f>
        <v>4.0326</v>
      </c>
      <c r="AD89" s="12" t="n">
        <f aca="false">(I89/V89)*AA89</f>
        <v>0.967824</v>
      </c>
    </row>
    <row r="90" customFormat="false" ht="13.8" hidden="false" customHeight="false" outlineLevel="0" collapsed="false">
      <c r="A90" s="9" t="n">
        <v>89</v>
      </c>
      <c r="B90" s="9" t="s">
        <v>30</v>
      </c>
      <c r="C90" s="9" t="s">
        <v>60</v>
      </c>
      <c r="D90" s="9" t="s">
        <v>236</v>
      </c>
      <c r="E90" s="9" t="s">
        <v>228</v>
      </c>
      <c r="F90" s="9" t="s">
        <v>229</v>
      </c>
      <c r="G90" s="9" t="n">
        <v>18.5</v>
      </c>
      <c r="H90" s="9" t="s">
        <v>230</v>
      </c>
      <c r="I90" s="9" t="n">
        <f aca="false">G90*0.47</f>
        <v>8.695</v>
      </c>
      <c r="J90" s="9" t="s">
        <v>36</v>
      </c>
      <c r="K90" s="9" t="s">
        <v>231</v>
      </c>
      <c r="L90" s="0" t="n">
        <v>1993.5</v>
      </c>
      <c r="M90" s="9" t="s">
        <v>38</v>
      </c>
      <c r="N90" s="11" t="n">
        <v>18.2166667</v>
      </c>
      <c r="O90" s="11" t="n">
        <v>-73.7</v>
      </c>
      <c r="P90" s="9" t="s">
        <v>39</v>
      </c>
      <c r="Q90" s="9" t="s">
        <v>53</v>
      </c>
      <c r="R90" s="9" t="s">
        <v>41</v>
      </c>
      <c r="S90" s="9" t="s">
        <v>232</v>
      </c>
      <c r="T90" s="9" t="s">
        <v>233</v>
      </c>
      <c r="U90" s="9" t="n">
        <v>5</v>
      </c>
      <c r="V90" s="9" t="n">
        <v>5</v>
      </c>
      <c r="W90" s="9" t="n">
        <v>25000</v>
      </c>
      <c r="X90" s="9"/>
      <c r="Y90" s="9" t="n">
        <f aca="false">W90+X90</f>
        <v>25000</v>
      </c>
      <c r="Z90" s="9"/>
      <c r="AA90" s="12" t="n">
        <v>0.24</v>
      </c>
      <c r="AB90" s="12"/>
      <c r="AC90" s="12" t="n">
        <f aca="false">I90/V90</f>
        <v>1.739</v>
      </c>
      <c r="AD90" s="12" t="n">
        <f aca="false">(I90/V90)*AA90</f>
        <v>0.41736</v>
      </c>
    </row>
    <row r="91" customFormat="false" ht="13.8" hidden="false" customHeight="false" outlineLevel="0" collapsed="false">
      <c r="A91" s="9" t="n">
        <v>90</v>
      </c>
      <c r="B91" s="9" t="s">
        <v>30</v>
      </c>
      <c r="C91" s="9" t="s">
        <v>60</v>
      </c>
      <c r="D91" s="9" t="s">
        <v>237</v>
      </c>
      <c r="E91" s="9" t="s">
        <v>228</v>
      </c>
      <c r="F91" s="9" t="s">
        <v>229</v>
      </c>
      <c r="G91" s="9" t="n">
        <v>24.4</v>
      </c>
      <c r="H91" s="9" t="s">
        <v>230</v>
      </c>
      <c r="I91" s="9" t="n">
        <f aca="false">G91*0.47</f>
        <v>11.468</v>
      </c>
      <c r="J91" s="9" t="s">
        <v>36</v>
      </c>
      <c r="K91" s="9" t="s">
        <v>231</v>
      </c>
      <c r="L91" s="0" t="n">
        <v>1993.5</v>
      </c>
      <c r="M91" s="9" t="s">
        <v>38</v>
      </c>
      <c r="N91" s="11" t="n">
        <v>18.2166667</v>
      </c>
      <c r="O91" s="11" t="n">
        <v>-73.7</v>
      </c>
      <c r="P91" s="9" t="s">
        <v>39</v>
      </c>
      <c r="Q91" s="9" t="s">
        <v>53</v>
      </c>
      <c r="R91" s="9" t="s">
        <v>41</v>
      </c>
      <c r="S91" s="9" t="s">
        <v>232</v>
      </c>
      <c r="T91" s="9" t="s">
        <v>233</v>
      </c>
      <c r="U91" s="9" t="n">
        <v>5</v>
      </c>
      <c r="V91" s="9" t="n">
        <v>5</v>
      </c>
      <c r="W91" s="9" t="n">
        <v>25000</v>
      </c>
      <c r="X91" s="9"/>
      <c r="Y91" s="9" t="n">
        <f aca="false">W91+X91</f>
        <v>25000</v>
      </c>
      <c r="Z91" s="9"/>
      <c r="AA91" s="12" t="n">
        <v>0.24</v>
      </c>
      <c r="AB91" s="12"/>
      <c r="AC91" s="12" t="n">
        <f aca="false">I91/V91</f>
        <v>2.2936</v>
      </c>
      <c r="AD91" s="12" t="n">
        <f aca="false">(I91/V91)*AA91</f>
        <v>0.550464</v>
      </c>
    </row>
    <row r="92" customFormat="false" ht="13.8" hidden="false" customHeight="false" outlineLevel="0" collapsed="false">
      <c r="A92" s="9" t="n">
        <v>91</v>
      </c>
      <c r="B92" s="9" t="s">
        <v>30</v>
      </c>
      <c r="C92" s="9" t="s">
        <v>60</v>
      </c>
      <c r="D92" s="9" t="s">
        <v>227</v>
      </c>
      <c r="E92" s="9" t="s">
        <v>238</v>
      </c>
      <c r="F92" s="9" t="s">
        <v>239</v>
      </c>
      <c r="G92" s="9" t="n">
        <v>15.9</v>
      </c>
      <c r="H92" s="9" t="s">
        <v>230</v>
      </c>
      <c r="I92" s="9" t="n">
        <f aca="false">G92*0.47</f>
        <v>7.473</v>
      </c>
      <c r="J92" s="9" t="s">
        <v>36</v>
      </c>
      <c r="K92" s="9" t="s">
        <v>231</v>
      </c>
      <c r="L92" s="0" t="n">
        <v>1993.5</v>
      </c>
      <c r="M92" s="9" t="s">
        <v>38</v>
      </c>
      <c r="N92" s="11" t="n">
        <v>18.25</v>
      </c>
      <c r="O92" s="11" t="n">
        <v>-73</v>
      </c>
      <c r="P92" s="9" t="s">
        <v>39</v>
      </c>
      <c r="Q92" s="9" t="s">
        <v>53</v>
      </c>
      <c r="R92" s="9" t="s">
        <v>41</v>
      </c>
      <c r="S92" s="9" t="s">
        <v>232</v>
      </c>
      <c r="T92" s="9" t="s">
        <v>233</v>
      </c>
      <c r="U92" s="9" t="n">
        <v>5</v>
      </c>
      <c r="V92" s="9" t="n">
        <v>5</v>
      </c>
      <c r="W92" s="9" t="n">
        <v>25000</v>
      </c>
      <c r="X92" s="9"/>
      <c r="Y92" s="9" t="n">
        <f aca="false">W92+X92</f>
        <v>25000</v>
      </c>
      <c r="Z92" s="9"/>
      <c r="AA92" s="12" t="n">
        <v>0.24</v>
      </c>
      <c r="AB92" s="12"/>
      <c r="AC92" s="12" t="n">
        <f aca="false">I92/V92</f>
        <v>1.4946</v>
      </c>
      <c r="AD92" s="12" t="n">
        <f aca="false">(I92/V92)*AA92</f>
        <v>0.358704</v>
      </c>
    </row>
    <row r="93" customFormat="false" ht="13.8" hidden="false" customHeight="false" outlineLevel="0" collapsed="false">
      <c r="A93" s="9" t="n">
        <v>92</v>
      </c>
      <c r="B93" s="9" t="s">
        <v>30</v>
      </c>
      <c r="C93" s="9" t="s">
        <v>60</v>
      </c>
      <c r="D93" s="9" t="s">
        <v>234</v>
      </c>
      <c r="E93" s="9" t="s">
        <v>238</v>
      </c>
      <c r="F93" s="9" t="s">
        <v>239</v>
      </c>
      <c r="G93" s="9" t="n">
        <v>29.6</v>
      </c>
      <c r="H93" s="9" t="s">
        <v>230</v>
      </c>
      <c r="I93" s="9" t="n">
        <f aca="false">G93*0.47</f>
        <v>13.912</v>
      </c>
      <c r="J93" s="9" t="s">
        <v>36</v>
      </c>
      <c r="K93" s="9" t="s">
        <v>231</v>
      </c>
      <c r="L93" s="0" t="n">
        <v>1993.5</v>
      </c>
      <c r="M93" s="9" t="s">
        <v>38</v>
      </c>
      <c r="N93" s="11" t="n">
        <v>18.25</v>
      </c>
      <c r="O93" s="11" t="n">
        <v>-73</v>
      </c>
      <c r="P93" s="9" t="s">
        <v>39</v>
      </c>
      <c r="Q93" s="9" t="s">
        <v>53</v>
      </c>
      <c r="R93" s="9" t="s">
        <v>41</v>
      </c>
      <c r="S93" s="9" t="s">
        <v>232</v>
      </c>
      <c r="T93" s="9" t="s">
        <v>233</v>
      </c>
      <c r="U93" s="9" t="n">
        <v>5</v>
      </c>
      <c r="V93" s="9" t="n">
        <v>5</v>
      </c>
      <c r="W93" s="9" t="n">
        <v>25000</v>
      </c>
      <c r="X93" s="9"/>
      <c r="Y93" s="9" t="n">
        <f aca="false">W93+X93</f>
        <v>25000</v>
      </c>
      <c r="Z93" s="9"/>
      <c r="AA93" s="12" t="n">
        <v>0.24</v>
      </c>
      <c r="AB93" s="12"/>
      <c r="AC93" s="12" t="n">
        <f aca="false">I93/V93</f>
        <v>2.7824</v>
      </c>
      <c r="AD93" s="12" t="n">
        <f aca="false">(I93/V93)*AA93</f>
        <v>0.667776</v>
      </c>
    </row>
    <row r="94" customFormat="false" ht="13.8" hidden="false" customHeight="false" outlineLevel="0" collapsed="false">
      <c r="A94" s="9" t="n">
        <v>93</v>
      </c>
      <c r="B94" s="9" t="s">
        <v>30</v>
      </c>
      <c r="C94" s="9" t="s">
        <v>60</v>
      </c>
      <c r="D94" s="9" t="s">
        <v>235</v>
      </c>
      <c r="E94" s="9" t="s">
        <v>238</v>
      </c>
      <c r="F94" s="9" t="s">
        <v>239</v>
      </c>
      <c r="G94" s="9" t="n">
        <v>26.8</v>
      </c>
      <c r="H94" s="9" t="s">
        <v>230</v>
      </c>
      <c r="I94" s="9" t="n">
        <f aca="false">G94*0.47</f>
        <v>12.596</v>
      </c>
      <c r="J94" s="9" t="s">
        <v>36</v>
      </c>
      <c r="K94" s="9" t="s">
        <v>231</v>
      </c>
      <c r="L94" s="0" t="n">
        <v>1993.5</v>
      </c>
      <c r="M94" s="9" t="s">
        <v>38</v>
      </c>
      <c r="N94" s="11" t="n">
        <v>18.25</v>
      </c>
      <c r="O94" s="11" t="n">
        <v>-73</v>
      </c>
      <c r="P94" s="9" t="s">
        <v>39</v>
      </c>
      <c r="Q94" s="9" t="s">
        <v>53</v>
      </c>
      <c r="R94" s="9" t="s">
        <v>41</v>
      </c>
      <c r="S94" s="9" t="s">
        <v>232</v>
      </c>
      <c r="T94" s="9" t="s">
        <v>233</v>
      </c>
      <c r="U94" s="9" t="n">
        <v>5</v>
      </c>
      <c r="V94" s="9" t="n">
        <v>5</v>
      </c>
      <c r="W94" s="9" t="n">
        <v>25000</v>
      </c>
      <c r="X94" s="9"/>
      <c r="Y94" s="9" t="n">
        <f aca="false">W94+X94</f>
        <v>25000</v>
      </c>
      <c r="Z94" s="9"/>
      <c r="AA94" s="12" t="n">
        <v>0.24</v>
      </c>
      <c r="AB94" s="12"/>
      <c r="AC94" s="12" t="n">
        <f aca="false">I94/V94</f>
        <v>2.5192</v>
      </c>
      <c r="AD94" s="12" t="n">
        <f aca="false">(I94/V94)*AA94</f>
        <v>0.604608</v>
      </c>
    </row>
    <row r="95" customFormat="false" ht="13.8" hidden="false" customHeight="false" outlineLevel="0" collapsed="false">
      <c r="A95" s="9" t="n">
        <v>94</v>
      </c>
      <c r="B95" s="9" t="s">
        <v>30</v>
      </c>
      <c r="C95" s="9" t="s">
        <v>60</v>
      </c>
      <c r="D95" s="9" t="s">
        <v>236</v>
      </c>
      <c r="E95" s="9" t="s">
        <v>238</v>
      </c>
      <c r="F95" s="9" t="s">
        <v>239</v>
      </c>
      <c r="G95" s="9" t="n">
        <v>17.5</v>
      </c>
      <c r="H95" s="9" t="s">
        <v>230</v>
      </c>
      <c r="I95" s="9" t="n">
        <f aca="false">G95*0.47</f>
        <v>8.225</v>
      </c>
      <c r="J95" s="9" t="s">
        <v>36</v>
      </c>
      <c r="K95" s="9" t="s">
        <v>231</v>
      </c>
      <c r="L95" s="0" t="n">
        <v>1993.5</v>
      </c>
      <c r="M95" s="9" t="s">
        <v>38</v>
      </c>
      <c r="N95" s="11" t="n">
        <v>18.25</v>
      </c>
      <c r="O95" s="11" t="n">
        <v>-73</v>
      </c>
      <c r="P95" s="9" t="s">
        <v>39</v>
      </c>
      <c r="Q95" s="9" t="s">
        <v>53</v>
      </c>
      <c r="R95" s="9" t="s">
        <v>41</v>
      </c>
      <c r="S95" s="9" t="s">
        <v>232</v>
      </c>
      <c r="T95" s="9" t="s">
        <v>233</v>
      </c>
      <c r="U95" s="9" t="n">
        <v>5</v>
      </c>
      <c r="V95" s="9" t="n">
        <v>5</v>
      </c>
      <c r="W95" s="9" t="n">
        <v>25000</v>
      </c>
      <c r="X95" s="9"/>
      <c r="Y95" s="9" t="n">
        <f aca="false">W95+X95</f>
        <v>25000</v>
      </c>
      <c r="Z95" s="9"/>
      <c r="AA95" s="12" t="n">
        <v>0.24</v>
      </c>
      <c r="AB95" s="12"/>
      <c r="AC95" s="12" t="n">
        <f aca="false">I95/V95</f>
        <v>1.645</v>
      </c>
      <c r="AD95" s="12" t="n">
        <f aca="false">(I95/V95)*AA95</f>
        <v>0.3948</v>
      </c>
    </row>
    <row r="96" customFormat="false" ht="13.8" hidden="false" customHeight="false" outlineLevel="0" collapsed="false">
      <c r="A96" s="9" t="n">
        <v>95</v>
      </c>
      <c r="B96" s="9" t="s">
        <v>30</v>
      </c>
      <c r="C96" s="9" t="s">
        <v>60</v>
      </c>
      <c r="D96" s="9" t="s">
        <v>237</v>
      </c>
      <c r="E96" s="9" t="s">
        <v>238</v>
      </c>
      <c r="F96" s="9" t="s">
        <v>239</v>
      </c>
      <c r="G96" s="9" t="n">
        <v>4.8</v>
      </c>
      <c r="H96" s="9" t="s">
        <v>230</v>
      </c>
      <c r="I96" s="9" t="n">
        <f aca="false">G96*0.47</f>
        <v>2.256</v>
      </c>
      <c r="J96" s="9" t="s">
        <v>36</v>
      </c>
      <c r="K96" s="9" t="s">
        <v>231</v>
      </c>
      <c r="L96" s="0" t="n">
        <v>1993.5</v>
      </c>
      <c r="M96" s="9" t="s">
        <v>38</v>
      </c>
      <c r="N96" s="11" t="n">
        <v>18.25</v>
      </c>
      <c r="O96" s="11" t="n">
        <v>-73</v>
      </c>
      <c r="P96" s="9" t="s">
        <v>39</v>
      </c>
      <c r="Q96" s="9" t="s">
        <v>53</v>
      </c>
      <c r="R96" s="9" t="s">
        <v>41</v>
      </c>
      <c r="S96" s="9" t="s">
        <v>232</v>
      </c>
      <c r="T96" s="9" t="s">
        <v>233</v>
      </c>
      <c r="U96" s="9" t="n">
        <v>5</v>
      </c>
      <c r="V96" s="9" t="n">
        <v>5</v>
      </c>
      <c r="W96" s="9" t="n">
        <v>25000</v>
      </c>
      <c r="X96" s="9"/>
      <c r="Y96" s="9" t="n">
        <f aca="false">W96+X96</f>
        <v>25000</v>
      </c>
      <c r="Z96" s="9"/>
      <c r="AA96" s="12" t="n">
        <v>0.24</v>
      </c>
      <c r="AB96" s="12"/>
      <c r="AC96" s="12" t="n">
        <f aca="false">I96/V96</f>
        <v>0.4512</v>
      </c>
      <c r="AD96" s="12" t="n">
        <f aca="false">(I96/V96)*AA96</f>
        <v>0.108288</v>
      </c>
    </row>
    <row r="97" customFormat="false" ht="13.8" hidden="false" customHeight="false" outlineLevel="0" collapsed="false">
      <c r="A97" s="9" t="n">
        <v>96</v>
      </c>
      <c r="B97" s="9" t="s">
        <v>30</v>
      </c>
      <c r="C97" s="9" t="s">
        <v>60</v>
      </c>
      <c r="D97" s="9" t="s">
        <v>227</v>
      </c>
      <c r="E97" s="9" t="s">
        <v>240</v>
      </c>
      <c r="F97" s="9" t="s">
        <v>241</v>
      </c>
      <c r="G97" s="9" t="n">
        <v>22.3</v>
      </c>
      <c r="H97" s="9" t="s">
        <v>230</v>
      </c>
      <c r="I97" s="9" t="n">
        <f aca="false">G97*0.47</f>
        <v>10.481</v>
      </c>
      <c r="J97" s="9" t="s">
        <v>36</v>
      </c>
      <c r="K97" s="9" t="s">
        <v>231</v>
      </c>
      <c r="L97" s="0" t="n">
        <v>1993.5</v>
      </c>
      <c r="M97" s="9" t="s">
        <v>38</v>
      </c>
      <c r="N97" s="11" t="n">
        <v>18.4833333</v>
      </c>
      <c r="O97" s="11" t="n">
        <v>-72.25</v>
      </c>
      <c r="P97" s="9" t="s">
        <v>39</v>
      </c>
      <c r="Q97" s="9" t="s">
        <v>53</v>
      </c>
      <c r="R97" s="9" t="s">
        <v>41</v>
      </c>
      <c r="S97" s="9" t="s">
        <v>232</v>
      </c>
      <c r="T97" s="9" t="s">
        <v>233</v>
      </c>
      <c r="U97" s="9" t="n">
        <v>5</v>
      </c>
      <c r="V97" s="9" t="n">
        <v>5</v>
      </c>
      <c r="W97" s="9" t="n">
        <v>25000</v>
      </c>
      <c r="X97" s="9"/>
      <c r="Y97" s="9" t="n">
        <f aca="false">W97+X97</f>
        <v>25000</v>
      </c>
      <c r="Z97" s="9"/>
      <c r="AA97" s="12" t="n">
        <v>0.24</v>
      </c>
      <c r="AB97" s="12"/>
      <c r="AC97" s="12" t="n">
        <f aca="false">I97/V97</f>
        <v>2.0962</v>
      </c>
      <c r="AD97" s="12" t="n">
        <f aca="false">(I97/V97)*AA97</f>
        <v>0.503088</v>
      </c>
    </row>
    <row r="98" customFormat="false" ht="13.8" hidden="false" customHeight="false" outlineLevel="0" collapsed="false">
      <c r="A98" s="9" t="n">
        <v>97</v>
      </c>
      <c r="B98" s="9" t="s">
        <v>30</v>
      </c>
      <c r="C98" s="9" t="s">
        <v>60</v>
      </c>
      <c r="D98" s="9" t="s">
        <v>234</v>
      </c>
      <c r="E98" s="9" t="s">
        <v>240</v>
      </c>
      <c r="F98" s="9" t="s">
        <v>241</v>
      </c>
      <c r="G98" s="9" t="n">
        <v>18.3</v>
      </c>
      <c r="H98" s="9" t="s">
        <v>230</v>
      </c>
      <c r="I98" s="9" t="n">
        <f aca="false">G98*0.47</f>
        <v>8.601</v>
      </c>
      <c r="J98" s="9" t="s">
        <v>36</v>
      </c>
      <c r="K98" s="9" t="s">
        <v>231</v>
      </c>
      <c r="L98" s="0" t="n">
        <v>1993.5</v>
      </c>
      <c r="M98" s="9" t="s">
        <v>38</v>
      </c>
      <c r="N98" s="11" t="n">
        <v>18.4833333</v>
      </c>
      <c r="O98" s="11" t="n">
        <v>-72.25</v>
      </c>
      <c r="P98" s="9" t="s">
        <v>39</v>
      </c>
      <c r="Q98" s="9" t="s">
        <v>53</v>
      </c>
      <c r="R98" s="9" t="s">
        <v>41</v>
      </c>
      <c r="S98" s="9" t="s">
        <v>232</v>
      </c>
      <c r="T98" s="9" t="s">
        <v>233</v>
      </c>
      <c r="U98" s="9" t="n">
        <v>5</v>
      </c>
      <c r="V98" s="9" t="n">
        <v>5</v>
      </c>
      <c r="W98" s="9" t="n">
        <v>25000</v>
      </c>
      <c r="X98" s="9"/>
      <c r="Y98" s="9" t="n">
        <f aca="false">W98+X98</f>
        <v>25000</v>
      </c>
      <c r="Z98" s="9"/>
      <c r="AA98" s="12" t="n">
        <v>0.24</v>
      </c>
      <c r="AB98" s="12"/>
      <c r="AC98" s="12" t="n">
        <f aca="false">I98/V98</f>
        <v>1.7202</v>
      </c>
      <c r="AD98" s="12" t="n">
        <f aca="false">(I98/V98)*AA98</f>
        <v>0.412848</v>
      </c>
    </row>
    <row r="99" customFormat="false" ht="13.8" hidden="false" customHeight="false" outlineLevel="0" collapsed="false">
      <c r="A99" s="9" t="n">
        <v>98</v>
      </c>
      <c r="B99" s="9" t="s">
        <v>30</v>
      </c>
      <c r="C99" s="9" t="s">
        <v>60</v>
      </c>
      <c r="D99" s="9" t="s">
        <v>235</v>
      </c>
      <c r="E99" s="9" t="s">
        <v>240</v>
      </c>
      <c r="F99" s="9" t="s">
        <v>241</v>
      </c>
      <c r="G99" s="9" t="n">
        <v>23.1</v>
      </c>
      <c r="H99" s="9" t="s">
        <v>230</v>
      </c>
      <c r="I99" s="9" t="n">
        <f aca="false">G99*0.47</f>
        <v>10.857</v>
      </c>
      <c r="J99" s="9" t="s">
        <v>36</v>
      </c>
      <c r="K99" s="9" t="s">
        <v>231</v>
      </c>
      <c r="L99" s="0" t="n">
        <v>1993.5</v>
      </c>
      <c r="M99" s="9" t="s">
        <v>38</v>
      </c>
      <c r="N99" s="11" t="n">
        <v>18.4833333</v>
      </c>
      <c r="O99" s="11" t="n">
        <v>-72.25</v>
      </c>
      <c r="P99" s="9" t="s">
        <v>39</v>
      </c>
      <c r="Q99" s="9" t="s">
        <v>53</v>
      </c>
      <c r="R99" s="9" t="s">
        <v>41</v>
      </c>
      <c r="S99" s="9" t="s">
        <v>232</v>
      </c>
      <c r="T99" s="9" t="s">
        <v>233</v>
      </c>
      <c r="U99" s="9" t="n">
        <v>5</v>
      </c>
      <c r="V99" s="9" t="n">
        <v>5</v>
      </c>
      <c r="W99" s="9" t="n">
        <v>25000</v>
      </c>
      <c r="X99" s="9"/>
      <c r="Y99" s="9" t="n">
        <f aca="false">W99+X99</f>
        <v>25000</v>
      </c>
      <c r="Z99" s="9"/>
      <c r="AA99" s="12" t="n">
        <v>0.24</v>
      </c>
      <c r="AB99" s="12"/>
      <c r="AC99" s="12" t="n">
        <f aca="false">I99/V99</f>
        <v>2.1714</v>
      </c>
      <c r="AD99" s="12" t="n">
        <f aca="false">(I99/V99)*AA99</f>
        <v>0.521136</v>
      </c>
    </row>
    <row r="100" customFormat="false" ht="13.8" hidden="false" customHeight="false" outlineLevel="0" collapsed="false">
      <c r="A100" s="9" t="n">
        <v>99</v>
      </c>
      <c r="B100" s="9" t="s">
        <v>30</v>
      </c>
      <c r="C100" s="9" t="s">
        <v>60</v>
      </c>
      <c r="D100" s="9" t="s">
        <v>242</v>
      </c>
      <c r="E100" s="9" t="s">
        <v>240</v>
      </c>
      <c r="F100" s="9" t="s">
        <v>241</v>
      </c>
      <c r="G100" s="9" t="n">
        <v>35.9</v>
      </c>
      <c r="H100" s="9" t="s">
        <v>230</v>
      </c>
      <c r="I100" s="9" t="n">
        <f aca="false">G100*0.47</f>
        <v>16.873</v>
      </c>
      <c r="J100" s="9" t="s">
        <v>36</v>
      </c>
      <c r="K100" s="9" t="s">
        <v>231</v>
      </c>
      <c r="L100" s="0" t="n">
        <v>1993.5</v>
      </c>
      <c r="M100" s="9" t="s">
        <v>38</v>
      </c>
      <c r="N100" s="11" t="n">
        <v>18.4833333</v>
      </c>
      <c r="O100" s="11" t="n">
        <v>-72.25</v>
      </c>
      <c r="P100" s="9" t="s">
        <v>39</v>
      </c>
      <c r="Q100" s="9" t="s">
        <v>53</v>
      </c>
      <c r="R100" s="9" t="s">
        <v>41</v>
      </c>
      <c r="S100" s="9" t="s">
        <v>232</v>
      </c>
      <c r="T100" s="9" t="s">
        <v>233</v>
      </c>
      <c r="U100" s="9" t="n">
        <v>5</v>
      </c>
      <c r="V100" s="9" t="n">
        <v>5</v>
      </c>
      <c r="W100" s="9" t="n">
        <v>25000</v>
      </c>
      <c r="X100" s="9"/>
      <c r="Y100" s="9" t="n">
        <f aca="false">W100+X100</f>
        <v>25000</v>
      </c>
      <c r="Z100" s="9"/>
      <c r="AA100" s="12" t="n">
        <v>0.24</v>
      </c>
      <c r="AB100" s="12"/>
      <c r="AC100" s="12" t="n">
        <f aca="false">I100/V100</f>
        <v>3.3746</v>
      </c>
      <c r="AD100" s="12" t="n">
        <f aca="false">(I100/V100)*AA100</f>
        <v>0.809904</v>
      </c>
    </row>
    <row r="101" customFormat="false" ht="13.8" hidden="false" customHeight="false" outlineLevel="0" collapsed="false">
      <c r="A101" s="9" t="n">
        <v>100</v>
      </c>
      <c r="B101" s="9" t="s">
        <v>30</v>
      </c>
      <c r="C101" s="9" t="s">
        <v>60</v>
      </c>
      <c r="D101" s="9" t="s">
        <v>243</v>
      </c>
      <c r="E101" s="9" t="s">
        <v>240</v>
      </c>
      <c r="F101" s="9" t="s">
        <v>241</v>
      </c>
      <c r="G101" s="9" t="n">
        <v>14.1</v>
      </c>
      <c r="H101" s="9" t="s">
        <v>230</v>
      </c>
      <c r="I101" s="9" t="n">
        <f aca="false">G101*0.47</f>
        <v>6.627</v>
      </c>
      <c r="J101" s="9" t="s">
        <v>36</v>
      </c>
      <c r="K101" s="9" t="s">
        <v>231</v>
      </c>
      <c r="L101" s="0" t="n">
        <v>1993.5</v>
      </c>
      <c r="M101" s="9" t="s">
        <v>38</v>
      </c>
      <c r="N101" s="11" t="n">
        <v>18.4833333</v>
      </c>
      <c r="O101" s="11" t="n">
        <v>-72.25</v>
      </c>
      <c r="P101" s="9" t="s">
        <v>39</v>
      </c>
      <c r="Q101" s="9" t="s">
        <v>53</v>
      </c>
      <c r="R101" s="9" t="s">
        <v>41</v>
      </c>
      <c r="S101" s="9" t="s">
        <v>232</v>
      </c>
      <c r="T101" s="9" t="s">
        <v>233</v>
      </c>
      <c r="U101" s="9" t="n">
        <v>5</v>
      </c>
      <c r="V101" s="9" t="n">
        <v>5</v>
      </c>
      <c r="W101" s="9" t="n">
        <v>25000</v>
      </c>
      <c r="X101" s="9"/>
      <c r="Y101" s="9" t="n">
        <f aca="false">W101+X101</f>
        <v>25000</v>
      </c>
      <c r="Z101" s="9"/>
      <c r="AA101" s="12" t="n">
        <v>0.24</v>
      </c>
      <c r="AB101" s="12"/>
      <c r="AC101" s="12" t="n">
        <f aca="false">I101/V101</f>
        <v>1.3254</v>
      </c>
      <c r="AD101" s="12" t="n">
        <f aca="false">(I101/V101)*AA101</f>
        <v>0.318096</v>
      </c>
    </row>
    <row r="102" customFormat="false" ht="13.8" hidden="false" customHeight="false" outlineLevel="0" collapsed="false">
      <c r="A102" s="9" t="n">
        <v>101</v>
      </c>
      <c r="B102" s="9" t="s">
        <v>30</v>
      </c>
      <c r="C102" s="9" t="s">
        <v>115</v>
      </c>
      <c r="D102" s="9" t="s">
        <v>244</v>
      </c>
      <c r="E102" s="9" t="s">
        <v>245</v>
      </c>
      <c r="F102" s="9" t="s">
        <v>246</v>
      </c>
      <c r="G102" s="9" t="n">
        <f aca="false">1.9+2.4</f>
        <v>4.3</v>
      </c>
      <c r="H102" s="9" t="s">
        <v>36</v>
      </c>
      <c r="I102" s="9"/>
      <c r="J102" s="9"/>
      <c r="K102" s="9" t="s">
        <v>247</v>
      </c>
      <c r="L102" s="0" t="n">
        <v>2002</v>
      </c>
      <c r="M102" s="9" t="s">
        <v>38</v>
      </c>
      <c r="N102" s="11" t="n">
        <v>6.2</v>
      </c>
      <c r="O102" s="11" t="s">
        <v>248</v>
      </c>
      <c r="P102" s="9" t="s">
        <v>39</v>
      </c>
      <c r="Q102" s="9" t="s">
        <v>53</v>
      </c>
      <c r="R102" s="9" t="s">
        <v>41</v>
      </c>
      <c r="S102" s="9" t="s">
        <v>249</v>
      </c>
      <c r="T102" s="9" t="s">
        <v>43</v>
      </c>
      <c r="U102" s="9" t="n">
        <v>2</v>
      </c>
      <c r="V102" s="9" t="n">
        <v>2</v>
      </c>
      <c r="W102" s="9" t="n">
        <v>200</v>
      </c>
      <c r="X102" s="9" t="n">
        <v>3125</v>
      </c>
      <c r="Y102" s="9" t="n">
        <f aca="false">W102+X102</f>
        <v>3325</v>
      </c>
      <c r="Z102" s="9"/>
      <c r="AA102" s="12" t="n">
        <v>0.24</v>
      </c>
      <c r="AB102" s="12"/>
      <c r="AC102" s="12" t="n">
        <f aca="false">G102/V102</f>
        <v>2.15</v>
      </c>
      <c r="AD102" s="12" t="n">
        <f aca="false">(G102/V102)*AA102</f>
        <v>0.516</v>
      </c>
    </row>
    <row r="103" customFormat="false" ht="13.8" hidden="false" customHeight="false" outlineLevel="0" collapsed="false">
      <c r="A103" s="9" t="n">
        <v>102</v>
      </c>
      <c r="B103" s="9" t="s">
        <v>30</v>
      </c>
      <c r="C103" s="9" t="s">
        <v>115</v>
      </c>
      <c r="D103" s="9" t="s">
        <v>244</v>
      </c>
      <c r="E103" s="9" t="s">
        <v>245</v>
      </c>
      <c r="F103" s="9" t="s">
        <v>246</v>
      </c>
      <c r="G103" s="9" t="n">
        <f aca="false">36.9+16.8</f>
        <v>53.7</v>
      </c>
      <c r="H103" s="9" t="s">
        <v>36</v>
      </c>
      <c r="I103" s="9"/>
      <c r="J103" s="9"/>
      <c r="K103" s="9" t="s">
        <v>247</v>
      </c>
      <c r="L103" s="0" t="n">
        <v>2002</v>
      </c>
      <c r="M103" s="9" t="s">
        <v>38</v>
      </c>
      <c r="N103" s="11" t="n">
        <v>6.2</v>
      </c>
      <c r="O103" s="11" t="s">
        <v>248</v>
      </c>
      <c r="P103" s="9" t="s">
        <v>39</v>
      </c>
      <c r="Q103" s="9" t="s">
        <v>53</v>
      </c>
      <c r="R103" s="9" t="s">
        <v>41</v>
      </c>
      <c r="S103" s="9" t="s">
        <v>249</v>
      </c>
      <c r="T103" s="9" t="s">
        <v>43</v>
      </c>
      <c r="U103" s="9" t="n">
        <v>15</v>
      </c>
      <c r="V103" s="9" t="n">
        <v>15</v>
      </c>
      <c r="W103" s="9" t="n">
        <v>56</v>
      </c>
      <c r="X103" s="9" t="n">
        <v>1362</v>
      </c>
      <c r="Y103" s="9" t="n">
        <f aca="false">W103+X103</f>
        <v>1418</v>
      </c>
      <c r="Z103" s="9"/>
      <c r="AA103" s="12" t="n">
        <v>0.24</v>
      </c>
      <c r="AB103" s="12"/>
      <c r="AC103" s="12" t="n">
        <f aca="false">G103/V103</f>
        <v>3.58</v>
      </c>
      <c r="AD103" s="12" t="n">
        <f aca="false">(G103/V103)*AA103</f>
        <v>0.8592</v>
      </c>
    </row>
    <row r="104" customFormat="false" ht="13.8" hidden="false" customHeight="false" outlineLevel="0" collapsed="false">
      <c r="A104" s="9" t="n">
        <v>103</v>
      </c>
      <c r="B104" s="9" t="s">
        <v>30</v>
      </c>
      <c r="C104" s="9" t="s">
        <v>115</v>
      </c>
      <c r="D104" s="9" t="s">
        <v>244</v>
      </c>
      <c r="E104" s="9" t="s">
        <v>245</v>
      </c>
      <c r="F104" s="9" t="s">
        <v>246</v>
      </c>
      <c r="G104" s="9" t="n">
        <f aca="false">64.7+15.9</f>
        <v>80.6</v>
      </c>
      <c r="H104" s="9" t="s">
        <v>36</v>
      </c>
      <c r="I104" s="9"/>
      <c r="J104" s="9"/>
      <c r="K104" s="9" t="s">
        <v>247</v>
      </c>
      <c r="L104" s="0" t="n">
        <v>2002</v>
      </c>
      <c r="M104" s="9" t="s">
        <v>38</v>
      </c>
      <c r="N104" s="11" t="n">
        <v>6.2</v>
      </c>
      <c r="O104" s="11" t="s">
        <v>248</v>
      </c>
      <c r="P104" s="9" t="s">
        <v>39</v>
      </c>
      <c r="Q104" s="9" t="s">
        <v>53</v>
      </c>
      <c r="R104" s="9" t="s">
        <v>41</v>
      </c>
      <c r="S104" s="9" t="s">
        <v>249</v>
      </c>
      <c r="T104" s="9" t="s">
        <v>43</v>
      </c>
      <c r="U104" s="9" t="n">
        <v>25</v>
      </c>
      <c r="V104" s="9" t="n">
        <v>25</v>
      </c>
      <c r="W104" s="9" t="n">
        <v>63</v>
      </c>
      <c r="X104" s="9" t="n">
        <v>900</v>
      </c>
      <c r="Y104" s="9" t="n">
        <f aca="false">W104+X104</f>
        <v>963</v>
      </c>
      <c r="Z104" s="9"/>
      <c r="AA104" s="12" t="n">
        <v>0.24</v>
      </c>
      <c r="AB104" s="12"/>
      <c r="AC104" s="12" t="n">
        <f aca="false">G104/V104</f>
        <v>3.224</v>
      </c>
      <c r="AD104" s="12" t="n">
        <f aca="false">(G104/V104)*AA104</f>
        <v>0.77376</v>
      </c>
    </row>
    <row r="105" customFormat="false" ht="13.8" hidden="false" customHeight="false" outlineLevel="0" collapsed="false">
      <c r="A105" s="9" t="n">
        <v>104</v>
      </c>
      <c r="B105" s="9" t="s">
        <v>59</v>
      </c>
      <c r="C105" s="9" t="s">
        <v>60</v>
      </c>
      <c r="D105" s="9" t="s">
        <v>250</v>
      </c>
      <c r="E105" s="9" t="s">
        <v>251</v>
      </c>
      <c r="F105" s="9"/>
      <c r="G105" s="9" t="n">
        <f aca="false">5.79+4.55</f>
        <v>10.34</v>
      </c>
      <c r="H105" s="9" t="s">
        <v>230</v>
      </c>
      <c r="I105" s="9" t="n">
        <f aca="false">G105*0.47</f>
        <v>4.8598</v>
      </c>
      <c r="J105" s="9"/>
      <c r="K105" s="9" t="s">
        <v>252</v>
      </c>
      <c r="L105" s="0" t="n">
        <v>1996</v>
      </c>
      <c r="M105" s="9" t="s">
        <v>38</v>
      </c>
      <c r="N105" s="11" t="s">
        <v>253</v>
      </c>
      <c r="O105" s="11" t="s">
        <v>254</v>
      </c>
      <c r="P105" s="9" t="s">
        <v>39</v>
      </c>
      <c r="Q105" s="9" t="s">
        <v>53</v>
      </c>
      <c r="R105" s="9" t="s">
        <v>41</v>
      </c>
      <c r="S105" s="9" t="s">
        <v>49</v>
      </c>
      <c r="T105" s="9" t="s">
        <v>43</v>
      </c>
      <c r="U105" s="9" t="n">
        <v>6</v>
      </c>
      <c r="V105" s="9" t="n">
        <v>1</v>
      </c>
      <c r="W105" s="9"/>
      <c r="X105" s="9"/>
      <c r="Y105" s="9"/>
      <c r="Z105" s="9"/>
      <c r="AA105" s="12" t="n">
        <v>0.24</v>
      </c>
      <c r="AB105" s="12"/>
      <c r="AC105" s="12" t="n">
        <f aca="false">I105/V105</f>
        <v>4.8598</v>
      </c>
      <c r="AD105" s="12" t="n">
        <f aca="false">(I105/V105)*AA105</f>
        <v>1.166352</v>
      </c>
    </row>
    <row r="106" customFormat="false" ht="13.8" hidden="false" customHeight="false" outlineLevel="0" collapsed="false">
      <c r="A106" s="9" t="n">
        <v>105</v>
      </c>
      <c r="B106" s="9" t="s">
        <v>59</v>
      </c>
      <c r="C106" s="9" t="s">
        <v>60</v>
      </c>
      <c r="D106" s="9" t="s">
        <v>255</v>
      </c>
      <c r="E106" s="9" t="s">
        <v>251</v>
      </c>
      <c r="F106" s="9"/>
      <c r="G106" s="9" t="n">
        <f aca="false">8.37+5.62</f>
        <v>13.99</v>
      </c>
      <c r="H106" s="9" t="s">
        <v>230</v>
      </c>
      <c r="I106" s="9" t="n">
        <f aca="false">G106*0.47</f>
        <v>6.5753</v>
      </c>
      <c r="J106" s="9"/>
      <c r="K106" s="9" t="s">
        <v>252</v>
      </c>
      <c r="L106" s="0" t="n">
        <v>1996</v>
      </c>
      <c r="M106" s="9" t="s">
        <v>38</v>
      </c>
      <c r="N106" s="11" t="s">
        <v>253</v>
      </c>
      <c r="O106" s="11" t="s">
        <v>254</v>
      </c>
      <c r="P106" s="9" t="s">
        <v>39</v>
      </c>
      <c r="Q106" s="9" t="s">
        <v>53</v>
      </c>
      <c r="R106" s="9" t="s">
        <v>41</v>
      </c>
      <c r="S106" s="9" t="s">
        <v>49</v>
      </c>
      <c r="T106" s="9" t="s">
        <v>43</v>
      </c>
      <c r="U106" s="9" t="n">
        <v>6</v>
      </c>
      <c r="V106" s="9" t="n">
        <v>1</v>
      </c>
      <c r="W106" s="9"/>
      <c r="X106" s="9"/>
      <c r="Y106" s="9"/>
      <c r="Z106" s="9"/>
      <c r="AA106" s="12" t="n">
        <v>0.24</v>
      </c>
      <c r="AB106" s="12"/>
      <c r="AC106" s="12" t="n">
        <f aca="false">I106/V106</f>
        <v>6.5753</v>
      </c>
      <c r="AD106" s="12" t="n">
        <f aca="false">(I106/V106)*AA106</f>
        <v>1.578072</v>
      </c>
    </row>
    <row r="107" customFormat="false" ht="68.65" hidden="false" customHeight="false" outlineLevel="0" collapsed="false">
      <c r="A107" s="9" t="n">
        <v>106</v>
      </c>
      <c r="B107" s="9" t="s">
        <v>30</v>
      </c>
      <c r="C107" s="9" t="s">
        <v>73</v>
      </c>
      <c r="D107" s="9" t="s">
        <v>256</v>
      </c>
      <c r="E107" s="9" t="s">
        <v>257</v>
      </c>
      <c r="F107" s="13" t="s">
        <v>258</v>
      </c>
      <c r="G107" s="9" t="n">
        <v>5.4</v>
      </c>
      <c r="H107" s="9" t="s">
        <v>36</v>
      </c>
      <c r="I107" s="9"/>
      <c r="J107" s="9"/>
      <c r="K107" s="9" t="s">
        <v>259</v>
      </c>
      <c r="L107" s="0" t="n">
        <v>2003</v>
      </c>
      <c r="M107" s="9" t="s">
        <v>38</v>
      </c>
      <c r="N107" s="11" t="n">
        <v>-13.01417</v>
      </c>
      <c r="O107" s="11" t="n">
        <v>32.00944</v>
      </c>
      <c r="P107" s="9" t="s">
        <v>39</v>
      </c>
      <c r="Q107" s="9" t="s">
        <v>260</v>
      </c>
      <c r="R107" s="9" t="s">
        <v>261</v>
      </c>
      <c r="S107" s="9" t="s">
        <v>262</v>
      </c>
      <c r="T107" s="9" t="s">
        <v>43</v>
      </c>
      <c r="U107" s="9" t="n">
        <v>2</v>
      </c>
      <c r="V107" s="9" t="n">
        <v>2</v>
      </c>
      <c r="W107" s="9" t="n">
        <f aca="false">(100/1)*(100/1)</f>
        <v>10000</v>
      </c>
      <c r="X107" s="9"/>
      <c r="Y107" s="9" t="n">
        <f aca="false">W107+X107</f>
        <v>10000</v>
      </c>
      <c r="Z107" s="9" t="n">
        <v>36</v>
      </c>
      <c r="AA107" s="12" t="n">
        <f aca="false">AB107/G107</f>
        <v>0.351851851851852</v>
      </c>
      <c r="AB107" s="12" t="n">
        <v>1.9</v>
      </c>
      <c r="AC107" s="12" t="n">
        <f aca="false">G107/V107</f>
        <v>2.7</v>
      </c>
      <c r="AD107" s="12" t="n">
        <f aca="false">AB107/V107</f>
        <v>0.95</v>
      </c>
    </row>
    <row r="108" customFormat="false" ht="68.65" hidden="false" customHeight="false" outlineLevel="0" collapsed="false">
      <c r="A108" s="9" t="n">
        <v>107</v>
      </c>
      <c r="B108" s="9" t="s">
        <v>30</v>
      </c>
      <c r="C108" s="9" t="s">
        <v>73</v>
      </c>
      <c r="D108" s="9" t="s">
        <v>263</v>
      </c>
      <c r="E108" s="9" t="s">
        <v>257</v>
      </c>
      <c r="F108" s="13" t="s">
        <v>258</v>
      </c>
      <c r="G108" s="9" t="n">
        <v>5</v>
      </c>
      <c r="H108" s="9" t="s">
        <v>36</v>
      </c>
      <c r="I108" s="9"/>
      <c r="J108" s="9"/>
      <c r="K108" s="9" t="s">
        <v>259</v>
      </c>
      <c r="L108" s="0" t="n">
        <v>2003</v>
      </c>
      <c r="M108" s="9" t="s">
        <v>38</v>
      </c>
      <c r="N108" s="11" t="n">
        <v>-13.01417</v>
      </c>
      <c r="O108" s="11" t="n">
        <v>32.00944</v>
      </c>
      <c r="P108" s="9" t="s">
        <v>39</v>
      </c>
      <c r="Q108" s="9" t="s">
        <v>260</v>
      </c>
      <c r="R108" s="9" t="s">
        <v>261</v>
      </c>
      <c r="S108" s="9" t="s">
        <v>262</v>
      </c>
      <c r="T108" s="9" t="s">
        <v>43</v>
      </c>
      <c r="U108" s="9" t="n">
        <v>2</v>
      </c>
      <c r="V108" s="9" t="n">
        <v>2</v>
      </c>
      <c r="W108" s="9" t="n">
        <f aca="false">(100/1)*(100/1)</f>
        <v>10000</v>
      </c>
      <c r="X108" s="9"/>
      <c r="Y108" s="9" t="n">
        <f aca="false">W108+X108</f>
        <v>10000</v>
      </c>
      <c r="Z108" s="9" t="n">
        <v>36</v>
      </c>
      <c r="AA108" s="12" t="n">
        <f aca="false">AB108/G108</f>
        <v>0.38</v>
      </c>
      <c r="AB108" s="12" t="n">
        <v>1.9</v>
      </c>
      <c r="AC108" s="12" t="n">
        <f aca="false">G108/V108</f>
        <v>2.5</v>
      </c>
      <c r="AD108" s="12" t="n">
        <f aca="false">AB108/V108</f>
        <v>0.95</v>
      </c>
    </row>
    <row r="109" customFormat="false" ht="68.65" hidden="false" customHeight="false" outlineLevel="0" collapsed="false">
      <c r="A109" s="9" t="n">
        <v>108</v>
      </c>
      <c r="B109" s="9" t="s">
        <v>30</v>
      </c>
      <c r="C109" s="9" t="s">
        <v>73</v>
      </c>
      <c r="D109" s="9" t="s">
        <v>264</v>
      </c>
      <c r="E109" s="9" t="s">
        <v>257</v>
      </c>
      <c r="F109" s="13" t="s">
        <v>258</v>
      </c>
      <c r="G109" s="9" t="n">
        <v>5</v>
      </c>
      <c r="H109" s="9" t="s">
        <v>36</v>
      </c>
      <c r="I109" s="9"/>
      <c r="J109" s="9"/>
      <c r="K109" s="9" t="s">
        <v>259</v>
      </c>
      <c r="L109" s="0" t="n">
        <v>2003</v>
      </c>
      <c r="M109" s="9" t="s">
        <v>38</v>
      </c>
      <c r="N109" s="11" t="n">
        <v>-13.01417</v>
      </c>
      <c r="O109" s="11" t="n">
        <v>32.00944</v>
      </c>
      <c r="P109" s="9" t="s">
        <v>39</v>
      </c>
      <c r="Q109" s="9" t="s">
        <v>260</v>
      </c>
      <c r="R109" s="9" t="s">
        <v>261</v>
      </c>
      <c r="S109" s="9" t="s">
        <v>262</v>
      </c>
      <c r="T109" s="9" t="s">
        <v>43</v>
      </c>
      <c r="U109" s="9" t="n">
        <v>2</v>
      </c>
      <c r="V109" s="9" t="n">
        <v>2</v>
      </c>
      <c r="W109" s="9" t="n">
        <f aca="false">(100/1)*(100/1)</f>
        <v>10000</v>
      </c>
      <c r="X109" s="9"/>
      <c r="Y109" s="9" t="n">
        <f aca="false">W109+X109</f>
        <v>10000</v>
      </c>
      <c r="Z109" s="9" t="n">
        <v>36</v>
      </c>
      <c r="AA109" s="12" t="n">
        <f aca="false">AB109/G109</f>
        <v>0.42</v>
      </c>
      <c r="AB109" s="12" t="n">
        <v>2.1</v>
      </c>
      <c r="AC109" s="12" t="n">
        <f aca="false">G109/V109</f>
        <v>2.5</v>
      </c>
      <c r="AD109" s="12" t="n">
        <f aca="false">AB109/V109</f>
        <v>1.05</v>
      </c>
    </row>
    <row r="110" customFormat="false" ht="68.65" hidden="false" customHeight="false" outlineLevel="0" collapsed="false">
      <c r="A110" s="9" t="n">
        <v>109</v>
      </c>
      <c r="B110" s="9" t="s">
        <v>30</v>
      </c>
      <c r="C110" s="9" t="s">
        <v>73</v>
      </c>
      <c r="D110" s="9" t="s">
        <v>265</v>
      </c>
      <c r="E110" s="9" t="s">
        <v>257</v>
      </c>
      <c r="F110" s="13" t="s">
        <v>258</v>
      </c>
      <c r="G110" s="9" t="n">
        <v>8.5</v>
      </c>
      <c r="H110" s="9" t="s">
        <v>36</v>
      </c>
      <c r="I110" s="9"/>
      <c r="J110" s="9"/>
      <c r="K110" s="9" t="s">
        <v>259</v>
      </c>
      <c r="L110" s="0" t="n">
        <v>2003</v>
      </c>
      <c r="M110" s="9" t="s">
        <v>38</v>
      </c>
      <c r="N110" s="11" t="n">
        <v>-13.01417</v>
      </c>
      <c r="O110" s="11" t="n">
        <v>32.00944</v>
      </c>
      <c r="P110" s="9" t="s">
        <v>39</v>
      </c>
      <c r="Q110" s="9" t="s">
        <v>260</v>
      </c>
      <c r="R110" s="9" t="s">
        <v>261</v>
      </c>
      <c r="S110" s="9" t="s">
        <v>262</v>
      </c>
      <c r="T110" s="9" t="s">
        <v>43</v>
      </c>
      <c r="U110" s="9" t="n">
        <v>2</v>
      </c>
      <c r="V110" s="9" t="n">
        <v>2</v>
      </c>
      <c r="W110" s="9" t="n">
        <f aca="false">(100/1)*(100/1)</f>
        <v>10000</v>
      </c>
      <c r="X110" s="9"/>
      <c r="Y110" s="9" t="n">
        <f aca="false">W110+X110</f>
        <v>10000</v>
      </c>
      <c r="Z110" s="9" t="n">
        <v>36</v>
      </c>
      <c r="AA110" s="12" t="n">
        <f aca="false">AB110/G110</f>
        <v>0.388235294117647</v>
      </c>
      <c r="AB110" s="12" t="n">
        <v>3.3</v>
      </c>
      <c r="AC110" s="12" t="n">
        <f aca="false">G110/V110</f>
        <v>4.25</v>
      </c>
      <c r="AD110" s="12" t="n">
        <f aca="false">AB110/V110</f>
        <v>1.65</v>
      </c>
    </row>
    <row r="111" customFormat="false" ht="68.65" hidden="false" customHeight="false" outlineLevel="0" collapsed="false">
      <c r="A111" s="9" t="n">
        <v>110</v>
      </c>
      <c r="B111" s="9" t="s">
        <v>30</v>
      </c>
      <c r="C111" s="9" t="s">
        <v>73</v>
      </c>
      <c r="D111" s="9" t="s">
        <v>266</v>
      </c>
      <c r="E111" s="9" t="s">
        <v>257</v>
      </c>
      <c r="F111" s="13" t="s">
        <v>258</v>
      </c>
      <c r="G111" s="9" t="n">
        <v>6.7</v>
      </c>
      <c r="H111" s="9" t="s">
        <v>36</v>
      </c>
      <c r="I111" s="9"/>
      <c r="J111" s="9"/>
      <c r="K111" s="9" t="s">
        <v>259</v>
      </c>
      <c r="L111" s="0" t="n">
        <v>2003</v>
      </c>
      <c r="M111" s="9" t="s">
        <v>38</v>
      </c>
      <c r="N111" s="11" t="n">
        <v>-13.01417</v>
      </c>
      <c r="O111" s="11" t="n">
        <v>32.00944</v>
      </c>
      <c r="P111" s="9" t="s">
        <v>39</v>
      </c>
      <c r="Q111" s="9" t="s">
        <v>260</v>
      </c>
      <c r="R111" s="9" t="s">
        <v>261</v>
      </c>
      <c r="S111" s="9" t="s">
        <v>262</v>
      </c>
      <c r="T111" s="9" t="s">
        <v>43</v>
      </c>
      <c r="U111" s="9" t="n">
        <v>2</v>
      </c>
      <c r="V111" s="9" t="n">
        <v>2</v>
      </c>
      <c r="W111" s="9" t="n">
        <f aca="false">(100/1)*(100/1)</f>
        <v>10000</v>
      </c>
      <c r="X111" s="9"/>
      <c r="Y111" s="9" t="n">
        <f aca="false">W111+X111</f>
        <v>10000</v>
      </c>
      <c r="Z111" s="9" t="n">
        <v>36</v>
      </c>
      <c r="AA111" s="12" t="n">
        <f aca="false">AB111/G111</f>
        <v>0.388059701492537</v>
      </c>
      <c r="AB111" s="12" t="n">
        <v>2.6</v>
      </c>
      <c r="AC111" s="12" t="n">
        <f aca="false">G111/V111</f>
        <v>3.35</v>
      </c>
      <c r="AD111" s="12" t="n">
        <f aca="false">AB111/V111</f>
        <v>1.3</v>
      </c>
    </row>
    <row r="112" customFormat="false" ht="68.65" hidden="false" customHeight="false" outlineLevel="0" collapsed="false">
      <c r="A112" s="9" t="n">
        <v>111</v>
      </c>
      <c r="B112" s="9" t="s">
        <v>30</v>
      </c>
      <c r="C112" s="9" t="s">
        <v>73</v>
      </c>
      <c r="D112" s="9" t="s">
        <v>267</v>
      </c>
      <c r="E112" s="9" t="s">
        <v>257</v>
      </c>
      <c r="F112" s="13" t="s">
        <v>258</v>
      </c>
      <c r="G112" s="9" t="n">
        <v>4.3</v>
      </c>
      <c r="H112" s="9" t="s">
        <v>36</v>
      </c>
      <c r="I112" s="9"/>
      <c r="J112" s="9"/>
      <c r="K112" s="9" t="s">
        <v>259</v>
      </c>
      <c r="L112" s="0" t="n">
        <v>2003</v>
      </c>
      <c r="M112" s="9" t="s">
        <v>38</v>
      </c>
      <c r="N112" s="11" t="n">
        <v>-13.01417</v>
      </c>
      <c r="O112" s="11" t="n">
        <v>32.00944</v>
      </c>
      <c r="P112" s="9" t="s">
        <v>39</v>
      </c>
      <c r="Q112" s="9" t="s">
        <v>260</v>
      </c>
      <c r="R112" s="9" t="s">
        <v>261</v>
      </c>
      <c r="S112" s="9" t="s">
        <v>262</v>
      </c>
      <c r="T112" s="9" t="s">
        <v>43</v>
      </c>
      <c r="U112" s="9" t="n">
        <v>2</v>
      </c>
      <c r="V112" s="9" t="n">
        <v>2</v>
      </c>
      <c r="W112" s="9" t="n">
        <f aca="false">(100/1)*(100/1)</f>
        <v>10000</v>
      </c>
      <c r="X112" s="9"/>
      <c r="Y112" s="9" t="n">
        <f aca="false">W112+X112</f>
        <v>10000</v>
      </c>
      <c r="Z112" s="9" t="n">
        <v>36</v>
      </c>
      <c r="AA112" s="12" t="n">
        <f aca="false">AB112/G112</f>
        <v>0.395348837209302</v>
      </c>
      <c r="AB112" s="12" t="n">
        <v>1.7</v>
      </c>
      <c r="AC112" s="12" t="n">
        <f aca="false">G112/V112</f>
        <v>2.15</v>
      </c>
      <c r="AD112" s="12" t="n">
        <f aca="false">AB112/V112</f>
        <v>0.85</v>
      </c>
    </row>
    <row r="113" customFormat="false" ht="68.65" hidden="false" customHeight="false" outlineLevel="0" collapsed="false">
      <c r="A113" s="9" t="n">
        <v>112</v>
      </c>
      <c r="B113" s="9" t="s">
        <v>30</v>
      </c>
      <c r="C113" s="9" t="s">
        <v>73</v>
      </c>
      <c r="D113" s="9" t="s">
        <v>268</v>
      </c>
      <c r="E113" s="9" t="s">
        <v>257</v>
      </c>
      <c r="F113" s="13" t="s">
        <v>258</v>
      </c>
      <c r="G113" s="9" t="n">
        <v>4.3</v>
      </c>
      <c r="H113" s="9" t="s">
        <v>36</v>
      </c>
      <c r="I113" s="9"/>
      <c r="J113" s="9"/>
      <c r="K113" s="9" t="s">
        <v>259</v>
      </c>
      <c r="L113" s="0" t="n">
        <v>2003</v>
      </c>
      <c r="M113" s="9" t="s">
        <v>38</v>
      </c>
      <c r="N113" s="11" t="n">
        <v>-13.01417</v>
      </c>
      <c r="O113" s="11" t="n">
        <v>32.00944</v>
      </c>
      <c r="P113" s="9" t="s">
        <v>39</v>
      </c>
      <c r="Q113" s="9" t="s">
        <v>260</v>
      </c>
      <c r="R113" s="9" t="s">
        <v>261</v>
      </c>
      <c r="S113" s="9" t="s">
        <v>262</v>
      </c>
      <c r="T113" s="9" t="s">
        <v>43</v>
      </c>
      <c r="U113" s="9" t="n">
        <v>2</v>
      </c>
      <c r="V113" s="9" t="n">
        <v>2</v>
      </c>
      <c r="W113" s="9" t="n">
        <f aca="false">(100/1)*(100/1)</f>
        <v>10000</v>
      </c>
      <c r="X113" s="9"/>
      <c r="Y113" s="9" t="n">
        <f aca="false">W113+X113</f>
        <v>10000</v>
      </c>
      <c r="Z113" s="9" t="n">
        <v>36</v>
      </c>
      <c r="AA113" s="12" t="n">
        <f aca="false">AB113/G113</f>
        <v>0.395348837209302</v>
      </c>
      <c r="AB113" s="12" t="n">
        <v>1.7</v>
      </c>
      <c r="AC113" s="12" t="n">
        <f aca="false">G113/V113</f>
        <v>2.15</v>
      </c>
      <c r="AD113" s="12" t="n">
        <f aca="false">AB113/V113</f>
        <v>0.85</v>
      </c>
    </row>
    <row r="114" customFormat="false" ht="68.65" hidden="false" customHeight="false" outlineLevel="0" collapsed="false">
      <c r="A114" s="9" t="n">
        <v>113</v>
      </c>
      <c r="B114" s="9" t="s">
        <v>30</v>
      </c>
      <c r="C114" s="9" t="s">
        <v>73</v>
      </c>
      <c r="D114" s="9" t="s">
        <v>269</v>
      </c>
      <c r="E114" s="9" t="s">
        <v>257</v>
      </c>
      <c r="F114" s="13" t="s">
        <v>258</v>
      </c>
      <c r="G114" s="9" t="n">
        <v>9.5</v>
      </c>
      <c r="H114" s="9" t="s">
        <v>36</v>
      </c>
      <c r="I114" s="9"/>
      <c r="J114" s="9"/>
      <c r="K114" s="9" t="s">
        <v>259</v>
      </c>
      <c r="L114" s="0" t="n">
        <v>2003</v>
      </c>
      <c r="M114" s="9" t="s">
        <v>38</v>
      </c>
      <c r="N114" s="11" t="n">
        <v>-13.01417</v>
      </c>
      <c r="O114" s="11" t="n">
        <v>32.00944</v>
      </c>
      <c r="P114" s="9" t="s">
        <v>39</v>
      </c>
      <c r="Q114" s="9" t="s">
        <v>260</v>
      </c>
      <c r="R114" s="9" t="s">
        <v>261</v>
      </c>
      <c r="S114" s="9" t="s">
        <v>262</v>
      </c>
      <c r="T114" s="9" t="s">
        <v>43</v>
      </c>
      <c r="U114" s="9" t="n">
        <v>2</v>
      </c>
      <c r="V114" s="9" t="n">
        <v>2</v>
      </c>
      <c r="W114" s="9" t="n">
        <f aca="false">(100/1)*(100/1)</f>
        <v>10000</v>
      </c>
      <c r="X114" s="9"/>
      <c r="Y114" s="9" t="n">
        <f aca="false">W114+X114</f>
        <v>10000</v>
      </c>
      <c r="Z114" s="9" t="n">
        <v>36</v>
      </c>
      <c r="AA114" s="12" t="n">
        <f aca="false">AB114/G114</f>
        <v>0.389473684210526</v>
      </c>
      <c r="AB114" s="12" t="n">
        <v>3.7</v>
      </c>
      <c r="AC114" s="12" t="n">
        <f aca="false">G114/V114</f>
        <v>4.75</v>
      </c>
      <c r="AD114" s="12" t="n">
        <f aca="false">AB114/V114</f>
        <v>1.85</v>
      </c>
    </row>
    <row r="115" customFormat="false" ht="68.65" hidden="false" customHeight="false" outlineLevel="0" collapsed="false">
      <c r="A115" s="9" t="n">
        <v>114</v>
      </c>
      <c r="B115" s="9" t="s">
        <v>30</v>
      </c>
      <c r="C115" s="9" t="s">
        <v>73</v>
      </c>
      <c r="D115" s="9" t="s">
        <v>270</v>
      </c>
      <c r="E115" s="9" t="s">
        <v>257</v>
      </c>
      <c r="F115" s="13" t="s">
        <v>258</v>
      </c>
      <c r="G115" s="9" t="n">
        <v>5.49</v>
      </c>
      <c r="H115" s="9" t="s">
        <v>36</v>
      </c>
      <c r="I115" s="9"/>
      <c r="J115" s="9"/>
      <c r="K115" s="9" t="s">
        <v>259</v>
      </c>
      <c r="L115" s="0" t="n">
        <v>2003</v>
      </c>
      <c r="M115" s="9" t="s">
        <v>38</v>
      </c>
      <c r="N115" s="11" t="n">
        <v>-13.01417</v>
      </c>
      <c r="O115" s="11" t="n">
        <v>32.00944</v>
      </c>
      <c r="P115" s="9" t="s">
        <v>39</v>
      </c>
      <c r="Q115" s="9" t="s">
        <v>260</v>
      </c>
      <c r="R115" s="9" t="s">
        <v>261</v>
      </c>
      <c r="S115" s="9" t="s">
        <v>262</v>
      </c>
      <c r="T115" s="9" t="s">
        <v>43</v>
      </c>
      <c r="U115" s="9" t="n">
        <v>2</v>
      </c>
      <c r="V115" s="9" t="n">
        <v>2</v>
      </c>
      <c r="W115" s="9" t="n">
        <f aca="false">(100/1)*(100/1)</f>
        <v>10000</v>
      </c>
      <c r="X115" s="9"/>
      <c r="Y115" s="9" t="n">
        <f aca="false">W115+X115</f>
        <v>10000</v>
      </c>
      <c r="Z115" s="9" t="n">
        <v>36</v>
      </c>
      <c r="AA115" s="12" t="n">
        <f aca="false">AB115/G115</f>
        <v>0.255009107468124</v>
      </c>
      <c r="AB115" s="12" t="n">
        <v>1.4</v>
      </c>
      <c r="AC115" s="12" t="n">
        <f aca="false">G115/V115</f>
        <v>2.745</v>
      </c>
      <c r="AD115" s="12" t="n">
        <f aca="false">AB115/V115</f>
        <v>0.7</v>
      </c>
    </row>
    <row r="116" customFormat="false" ht="68.65" hidden="false" customHeight="false" outlineLevel="0" collapsed="false">
      <c r="A116" s="9" t="n">
        <v>115</v>
      </c>
      <c r="B116" s="9" t="s">
        <v>30</v>
      </c>
      <c r="C116" s="9" t="s">
        <v>73</v>
      </c>
      <c r="D116" s="9" t="s">
        <v>271</v>
      </c>
      <c r="E116" s="9" t="s">
        <v>257</v>
      </c>
      <c r="F116" s="13" t="s">
        <v>258</v>
      </c>
      <c r="G116" s="9" t="n">
        <v>5.4</v>
      </c>
      <c r="H116" s="9" t="s">
        <v>36</v>
      </c>
      <c r="I116" s="9"/>
      <c r="J116" s="9"/>
      <c r="K116" s="9" t="s">
        <v>259</v>
      </c>
      <c r="L116" s="0" t="n">
        <v>2003</v>
      </c>
      <c r="M116" s="9" t="s">
        <v>38</v>
      </c>
      <c r="N116" s="11" t="n">
        <v>-13.01417</v>
      </c>
      <c r="O116" s="11" t="n">
        <v>32.00944</v>
      </c>
      <c r="P116" s="9" t="s">
        <v>39</v>
      </c>
      <c r="Q116" s="9" t="s">
        <v>260</v>
      </c>
      <c r="R116" s="9" t="s">
        <v>261</v>
      </c>
      <c r="S116" s="9" t="s">
        <v>262</v>
      </c>
      <c r="T116" s="9" t="s">
        <v>43</v>
      </c>
      <c r="U116" s="9" t="n">
        <v>2</v>
      </c>
      <c r="V116" s="9" t="n">
        <v>2</v>
      </c>
      <c r="W116" s="9" t="n">
        <f aca="false">(100/1)*(100/1)</f>
        <v>10000</v>
      </c>
      <c r="X116" s="9"/>
      <c r="Y116" s="9" t="n">
        <f aca="false">W116+X116</f>
        <v>10000</v>
      </c>
      <c r="Z116" s="9" t="n">
        <v>36</v>
      </c>
      <c r="AA116" s="12" t="n">
        <f aca="false">AB116/G116</f>
        <v>0.388888888888889</v>
      </c>
      <c r="AB116" s="12" t="n">
        <v>2.1</v>
      </c>
      <c r="AC116" s="12" t="n">
        <f aca="false">G116/V116</f>
        <v>2.7</v>
      </c>
      <c r="AD116" s="12" t="n">
        <f aca="false">AB116/V116</f>
        <v>1.05</v>
      </c>
    </row>
    <row r="117" customFormat="false" ht="68.65" hidden="false" customHeight="false" outlineLevel="0" collapsed="false">
      <c r="A117" s="9" t="n">
        <v>116</v>
      </c>
      <c r="B117" s="9" t="s">
        <v>30</v>
      </c>
      <c r="C117" s="9" t="s">
        <v>73</v>
      </c>
      <c r="D117" s="9" t="s">
        <v>272</v>
      </c>
      <c r="E117" s="9" t="s">
        <v>257</v>
      </c>
      <c r="F117" s="13" t="s">
        <v>258</v>
      </c>
      <c r="G117" s="9" t="n">
        <v>7.9</v>
      </c>
      <c r="H117" s="9" t="s">
        <v>36</v>
      </c>
      <c r="I117" s="9"/>
      <c r="J117" s="9"/>
      <c r="K117" s="9" t="s">
        <v>259</v>
      </c>
      <c r="L117" s="0" t="n">
        <v>2003</v>
      </c>
      <c r="M117" s="9" t="s">
        <v>38</v>
      </c>
      <c r="N117" s="11" t="n">
        <v>-13.01417</v>
      </c>
      <c r="O117" s="11" t="n">
        <v>32.00944</v>
      </c>
      <c r="P117" s="9" t="s">
        <v>39</v>
      </c>
      <c r="Q117" s="9" t="s">
        <v>260</v>
      </c>
      <c r="R117" s="9" t="s">
        <v>261</v>
      </c>
      <c r="S117" s="9" t="s">
        <v>262</v>
      </c>
      <c r="T117" s="9" t="s">
        <v>43</v>
      </c>
      <c r="U117" s="9" t="n">
        <v>2</v>
      </c>
      <c r="V117" s="9" t="n">
        <v>2</v>
      </c>
      <c r="W117" s="9" t="n">
        <f aca="false">(100/1)*(100/1)</f>
        <v>10000</v>
      </c>
      <c r="X117" s="9"/>
      <c r="Y117" s="9" t="n">
        <f aca="false">W117+X117</f>
        <v>10000</v>
      </c>
      <c r="Z117" s="9" t="n">
        <v>36</v>
      </c>
      <c r="AA117" s="12" t="n">
        <f aca="false">AB117/G117</f>
        <v>0.253164556962025</v>
      </c>
      <c r="AB117" s="12" t="n">
        <v>2</v>
      </c>
      <c r="AC117" s="12" t="n">
        <f aca="false">G117/V117</f>
        <v>3.95</v>
      </c>
      <c r="AD117" s="12" t="n">
        <f aca="false">AB117/V117</f>
        <v>1</v>
      </c>
    </row>
    <row r="118" customFormat="false" ht="68.65" hidden="false" customHeight="false" outlineLevel="0" collapsed="false">
      <c r="A118" s="9" t="n">
        <v>117</v>
      </c>
      <c r="B118" s="9" t="s">
        <v>30</v>
      </c>
      <c r="C118" s="9" t="s">
        <v>73</v>
      </c>
      <c r="D118" s="9" t="s">
        <v>273</v>
      </c>
      <c r="E118" s="9" t="s">
        <v>257</v>
      </c>
      <c r="F118" s="13" t="s">
        <v>258</v>
      </c>
      <c r="G118" s="9" t="n">
        <v>9.8</v>
      </c>
      <c r="H118" s="9" t="s">
        <v>36</v>
      </c>
      <c r="I118" s="9"/>
      <c r="J118" s="9"/>
      <c r="K118" s="9" t="s">
        <v>259</v>
      </c>
      <c r="L118" s="0" t="n">
        <v>2003</v>
      </c>
      <c r="M118" s="9" t="s">
        <v>38</v>
      </c>
      <c r="N118" s="11" t="n">
        <v>-13.01417</v>
      </c>
      <c r="O118" s="11" t="n">
        <v>32.00944</v>
      </c>
      <c r="P118" s="9" t="s">
        <v>39</v>
      </c>
      <c r="Q118" s="9" t="s">
        <v>260</v>
      </c>
      <c r="R118" s="9" t="s">
        <v>261</v>
      </c>
      <c r="S118" s="9" t="s">
        <v>262</v>
      </c>
      <c r="T118" s="9" t="s">
        <v>43</v>
      </c>
      <c r="U118" s="9" t="n">
        <v>2</v>
      </c>
      <c r="V118" s="9" t="n">
        <v>2</v>
      </c>
      <c r="W118" s="9" t="n">
        <f aca="false">(100/1)*(100/1)</f>
        <v>10000</v>
      </c>
      <c r="X118" s="9"/>
      <c r="Y118" s="9" t="n">
        <f aca="false">W118+X118</f>
        <v>10000</v>
      </c>
      <c r="Z118" s="9" t="n">
        <v>36</v>
      </c>
      <c r="AA118" s="12" t="n">
        <f aca="false">AB118/G118</f>
        <v>0.326530612244898</v>
      </c>
      <c r="AB118" s="12" t="n">
        <v>3.2</v>
      </c>
      <c r="AC118" s="12" t="n">
        <f aca="false">G118/V118</f>
        <v>4.9</v>
      </c>
      <c r="AD118" s="12" t="n">
        <f aca="false">AB118/V118</f>
        <v>1.6</v>
      </c>
    </row>
    <row r="119" customFormat="false" ht="68.65" hidden="false" customHeight="false" outlineLevel="0" collapsed="false">
      <c r="A119" s="9" t="n">
        <v>118</v>
      </c>
      <c r="B119" s="9" t="s">
        <v>30</v>
      </c>
      <c r="C119" s="9" t="s">
        <v>73</v>
      </c>
      <c r="D119" s="9" t="s">
        <v>274</v>
      </c>
      <c r="E119" s="9" t="s">
        <v>257</v>
      </c>
      <c r="F119" s="13" t="s">
        <v>258</v>
      </c>
      <c r="G119" s="9" t="n">
        <v>2.9</v>
      </c>
      <c r="H119" s="9" t="s">
        <v>36</v>
      </c>
      <c r="I119" s="9"/>
      <c r="J119" s="9"/>
      <c r="K119" s="9" t="s">
        <v>259</v>
      </c>
      <c r="L119" s="0" t="n">
        <v>2003</v>
      </c>
      <c r="M119" s="9" t="s">
        <v>38</v>
      </c>
      <c r="N119" s="11" t="n">
        <v>-13.01417</v>
      </c>
      <c r="O119" s="11" t="n">
        <v>32.00944</v>
      </c>
      <c r="P119" s="9" t="s">
        <v>39</v>
      </c>
      <c r="Q119" s="9" t="s">
        <v>260</v>
      </c>
      <c r="R119" s="9" t="s">
        <v>261</v>
      </c>
      <c r="S119" s="9" t="s">
        <v>262</v>
      </c>
      <c r="T119" s="9" t="s">
        <v>43</v>
      </c>
      <c r="U119" s="9" t="n">
        <v>2</v>
      </c>
      <c r="V119" s="9" t="n">
        <v>2</v>
      </c>
      <c r="W119" s="9" t="n">
        <f aca="false">(100/1)*(100/1)</f>
        <v>10000</v>
      </c>
      <c r="X119" s="9"/>
      <c r="Y119" s="9" t="n">
        <f aca="false">W119+X119</f>
        <v>10000</v>
      </c>
      <c r="Z119" s="9" t="n">
        <v>36</v>
      </c>
      <c r="AA119" s="12" t="n">
        <f aca="false">AB119/G119</f>
        <v>0.344827586206897</v>
      </c>
      <c r="AB119" s="12" t="n">
        <v>1</v>
      </c>
      <c r="AC119" s="12" t="n">
        <f aca="false">G119/V119</f>
        <v>1.45</v>
      </c>
      <c r="AD119" s="12" t="n">
        <f aca="false">AB119/V119</f>
        <v>0.5</v>
      </c>
    </row>
    <row r="120" customFormat="false" ht="68.65" hidden="false" customHeight="false" outlineLevel="0" collapsed="false">
      <c r="A120" s="9" t="n">
        <v>119</v>
      </c>
      <c r="B120" s="9" t="s">
        <v>30</v>
      </c>
      <c r="C120" s="9" t="s">
        <v>73</v>
      </c>
      <c r="D120" s="9" t="s">
        <v>275</v>
      </c>
      <c r="E120" s="9" t="s">
        <v>257</v>
      </c>
      <c r="F120" s="13" t="s">
        <v>258</v>
      </c>
      <c r="G120" s="9" t="n">
        <v>4.7</v>
      </c>
      <c r="H120" s="9" t="s">
        <v>36</v>
      </c>
      <c r="I120" s="9"/>
      <c r="J120" s="9"/>
      <c r="K120" s="9" t="s">
        <v>259</v>
      </c>
      <c r="L120" s="0" t="n">
        <v>2003</v>
      </c>
      <c r="M120" s="9" t="s">
        <v>38</v>
      </c>
      <c r="N120" s="11" t="n">
        <v>-13.01417</v>
      </c>
      <c r="O120" s="11" t="n">
        <v>32.00944</v>
      </c>
      <c r="P120" s="9" t="s">
        <v>39</v>
      </c>
      <c r="Q120" s="9" t="s">
        <v>260</v>
      </c>
      <c r="R120" s="9" t="s">
        <v>261</v>
      </c>
      <c r="S120" s="9" t="s">
        <v>262</v>
      </c>
      <c r="T120" s="9" t="s">
        <v>43</v>
      </c>
      <c r="U120" s="9" t="n">
        <v>2</v>
      </c>
      <c r="V120" s="9" t="n">
        <v>2</v>
      </c>
      <c r="W120" s="9" t="n">
        <f aca="false">(100/1)*(100/1)</f>
        <v>10000</v>
      </c>
      <c r="X120" s="9"/>
      <c r="Y120" s="9" t="n">
        <f aca="false">W120+X120</f>
        <v>10000</v>
      </c>
      <c r="Z120" s="9" t="n">
        <v>36</v>
      </c>
      <c r="AA120" s="12" t="n">
        <f aca="false">AB120/G120</f>
        <v>0.361702127659574</v>
      </c>
      <c r="AB120" s="12" t="n">
        <v>1.7</v>
      </c>
      <c r="AC120" s="12" t="n">
        <f aca="false">G120/V120</f>
        <v>2.35</v>
      </c>
      <c r="AD120" s="12" t="n">
        <f aca="false">AB120/V120</f>
        <v>0.85</v>
      </c>
    </row>
    <row r="121" customFormat="false" ht="68.65" hidden="false" customHeight="false" outlineLevel="0" collapsed="false">
      <c r="A121" s="9" t="n">
        <v>120</v>
      </c>
      <c r="B121" s="9" t="s">
        <v>30</v>
      </c>
      <c r="C121" s="9" t="s">
        <v>73</v>
      </c>
      <c r="D121" s="9" t="s">
        <v>276</v>
      </c>
      <c r="E121" s="9" t="s">
        <v>257</v>
      </c>
      <c r="F121" s="13" t="s">
        <v>258</v>
      </c>
      <c r="G121" s="9" t="n">
        <v>6</v>
      </c>
      <c r="H121" s="9" t="s">
        <v>36</v>
      </c>
      <c r="I121" s="9"/>
      <c r="J121" s="9"/>
      <c r="K121" s="9" t="s">
        <v>259</v>
      </c>
      <c r="L121" s="0" t="n">
        <v>2003</v>
      </c>
      <c r="M121" s="9" t="s">
        <v>38</v>
      </c>
      <c r="N121" s="11" t="n">
        <v>-13.01417</v>
      </c>
      <c r="O121" s="11" t="n">
        <v>32.00944</v>
      </c>
      <c r="P121" s="9" t="s">
        <v>39</v>
      </c>
      <c r="Q121" s="9" t="s">
        <v>260</v>
      </c>
      <c r="R121" s="9" t="s">
        <v>261</v>
      </c>
      <c r="S121" s="9" t="s">
        <v>262</v>
      </c>
      <c r="T121" s="9" t="s">
        <v>43</v>
      </c>
      <c r="U121" s="9" t="n">
        <v>2</v>
      </c>
      <c r="V121" s="9" t="n">
        <v>2</v>
      </c>
      <c r="W121" s="9" t="n">
        <f aca="false">(100/1)*(100/1)</f>
        <v>10000</v>
      </c>
      <c r="X121" s="9"/>
      <c r="Y121" s="9" t="n">
        <f aca="false">W121+X121</f>
        <v>10000</v>
      </c>
      <c r="Z121" s="9" t="n">
        <v>36</v>
      </c>
      <c r="AA121" s="12" t="n">
        <f aca="false">AB121/G121</f>
        <v>0.316666666666667</v>
      </c>
      <c r="AB121" s="12" t="n">
        <v>1.9</v>
      </c>
      <c r="AC121" s="12" t="n">
        <f aca="false">G121/V121</f>
        <v>3</v>
      </c>
      <c r="AD121" s="12" t="n">
        <f aca="false">AB121/V121</f>
        <v>0.95</v>
      </c>
    </row>
    <row r="122" customFormat="false" ht="68.65" hidden="false" customHeight="false" outlineLevel="0" collapsed="false">
      <c r="A122" s="9" t="n">
        <v>121</v>
      </c>
      <c r="B122" s="9" t="s">
        <v>30</v>
      </c>
      <c r="C122" s="9" t="s">
        <v>73</v>
      </c>
      <c r="D122" s="9" t="s">
        <v>277</v>
      </c>
      <c r="E122" s="9" t="s">
        <v>257</v>
      </c>
      <c r="F122" s="13" t="s">
        <v>258</v>
      </c>
      <c r="G122" s="9" t="n">
        <v>2.1</v>
      </c>
      <c r="H122" s="9" t="s">
        <v>36</v>
      </c>
      <c r="I122" s="9"/>
      <c r="J122" s="9"/>
      <c r="K122" s="9" t="s">
        <v>259</v>
      </c>
      <c r="L122" s="0" t="n">
        <v>2003</v>
      </c>
      <c r="M122" s="9" t="s">
        <v>38</v>
      </c>
      <c r="N122" s="11" t="n">
        <v>-13.01417</v>
      </c>
      <c r="O122" s="11" t="n">
        <v>32.00944</v>
      </c>
      <c r="P122" s="9" t="s">
        <v>39</v>
      </c>
      <c r="Q122" s="9" t="s">
        <v>260</v>
      </c>
      <c r="R122" s="9" t="s">
        <v>261</v>
      </c>
      <c r="S122" s="9" t="s">
        <v>262</v>
      </c>
      <c r="T122" s="9" t="s">
        <v>43</v>
      </c>
      <c r="U122" s="9" t="n">
        <v>2</v>
      </c>
      <c r="V122" s="9" t="n">
        <v>2</v>
      </c>
      <c r="W122" s="9" t="n">
        <f aca="false">(100/1)*(100/1)</f>
        <v>10000</v>
      </c>
      <c r="X122" s="9"/>
      <c r="Y122" s="9" t="n">
        <f aca="false">W122+X122</f>
        <v>10000</v>
      </c>
      <c r="Z122" s="9" t="n">
        <v>36</v>
      </c>
      <c r="AA122" s="12" t="n">
        <f aca="false">AB122/G122</f>
        <v>0.380952380952381</v>
      </c>
      <c r="AB122" s="12" t="n">
        <v>0.8</v>
      </c>
      <c r="AC122" s="12" t="n">
        <f aca="false">G122/V122</f>
        <v>1.05</v>
      </c>
      <c r="AD122" s="12" t="n">
        <f aca="false">AB122/V122</f>
        <v>0.4</v>
      </c>
    </row>
    <row r="123" customFormat="false" ht="68.65" hidden="false" customHeight="false" outlineLevel="0" collapsed="false">
      <c r="A123" s="9" t="n">
        <v>122</v>
      </c>
      <c r="B123" s="9" t="s">
        <v>30</v>
      </c>
      <c r="C123" s="9" t="s">
        <v>73</v>
      </c>
      <c r="D123" s="9" t="s">
        <v>278</v>
      </c>
      <c r="E123" s="9" t="s">
        <v>257</v>
      </c>
      <c r="F123" s="13" t="s">
        <v>258</v>
      </c>
      <c r="G123" s="9" t="n">
        <v>5.8</v>
      </c>
      <c r="H123" s="9" t="s">
        <v>36</v>
      </c>
      <c r="I123" s="9"/>
      <c r="J123" s="9"/>
      <c r="K123" s="9" t="s">
        <v>259</v>
      </c>
      <c r="L123" s="0" t="n">
        <v>2003</v>
      </c>
      <c r="M123" s="9" t="s">
        <v>38</v>
      </c>
      <c r="N123" s="11" t="n">
        <v>-13.01417</v>
      </c>
      <c r="O123" s="11" t="n">
        <v>32.00944</v>
      </c>
      <c r="P123" s="9" t="s">
        <v>39</v>
      </c>
      <c r="Q123" s="9" t="s">
        <v>260</v>
      </c>
      <c r="R123" s="9" t="s">
        <v>261</v>
      </c>
      <c r="S123" s="9" t="s">
        <v>262</v>
      </c>
      <c r="T123" s="9" t="s">
        <v>43</v>
      </c>
      <c r="U123" s="9" t="n">
        <v>2</v>
      </c>
      <c r="V123" s="9" t="n">
        <v>2</v>
      </c>
      <c r="W123" s="9" t="n">
        <f aca="false">(100/1)*(100/1)</f>
        <v>10000</v>
      </c>
      <c r="X123" s="9"/>
      <c r="Y123" s="9" t="n">
        <f aca="false">W123+X123</f>
        <v>10000</v>
      </c>
      <c r="Z123" s="9" t="n">
        <v>36</v>
      </c>
      <c r="AA123" s="12" t="n">
        <f aca="false">AB123/G123</f>
        <v>0.344827586206897</v>
      </c>
      <c r="AB123" s="12" t="n">
        <v>2</v>
      </c>
      <c r="AC123" s="12" t="n">
        <f aca="false">G123/V123</f>
        <v>2.9</v>
      </c>
      <c r="AD123" s="12" t="n">
        <f aca="false">AB123/V123</f>
        <v>1</v>
      </c>
    </row>
    <row r="124" customFormat="false" ht="68.65" hidden="false" customHeight="false" outlineLevel="0" collapsed="false">
      <c r="A124" s="9" t="n">
        <v>123</v>
      </c>
      <c r="B124" s="9" t="s">
        <v>30</v>
      </c>
      <c r="C124" s="9" t="s">
        <v>73</v>
      </c>
      <c r="D124" s="9" t="s">
        <v>279</v>
      </c>
      <c r="E124" s="9" t="s">
        <v>257</v>
      </c>
      <c r="F124" s="13" t="s">
        <v>258</v>
      </c>
      <c r="G124" s="9" t="n">
        <v>7.9</v>
      </c>
      <c r="H124" s="9" t="s">
        <v>36</v>
      </c>
      <c r="I124" s="9"/>
      <c r="J124" s="9"/>
      <c r="K124" s="9" t="s">
        <v>259</v>
      </c>
      <c r="L124" s="0" t="n">
        <v>2003</v>
      </c>
      <c r="M124" s="9" t="s">
        <v>38</v>
      </c>
      <c r="N124" s="11" t="n">
        <v>-13.01417</v>
      </c>
      <c r="O124" s="11" t="n">
        <v>32.00944</v>
      </c>
      <c r="P124" s="9" t="s">
        <v>39</v>
      </c>
      <c r="Q124" s="9" t="s">
        <v>260</v>
      </c>
      <c r="R124" s="9" t="s">
        <v>261</v>
      </c>
      <c r="S124" s="9" t="s">
        <v>262</v>
      </c>
      <c r="T124" s="9" t="s">
        <v>43</v>
      </c>
      <c r="U124" s="9" t="n">
        <v>2</v>
      </c>
      <c r="V124" s="9" t="n">
        <v>2</v>
      </c>
      <c r="W124" s="9" t="n">
        <f aca="false">(100/1)*(100/1)</f>
        <v>10000</v>
      </c>
      <c r="X124" s="9"/>
      <c r="Y124" s="9" t="n">
        <f aca="false">W124+X124</f>
        <v>10000</v>
      </c>
      <c r="Z124" s="9" t="n">
        <v>36</v>
      </c>
      <c r="AA124" s="12" t="n">
        <f aca="false">AB124/G124</f>
        <v>0.354430379746835</v>
      </c>
      <c r="AB124" s="12" t="n">
        <v>2.8</v>
      </c>
      <c r="AC124" s="12" t="n">
        <f aca="false">G124/V124</f>
        <v>3.95</v>
      </c>
      <c r="AD124" s="12" t="n">
        <f aca="false">AB124/V124</f>
        <v>1.4</v>
      </c>
    </row>
    <row r="125" customFormat="false" ht="68.65" hidden="false" customHeight="false" outlineLevel="0" collapsed="false">
      <c r="A125" s="9" t="n">
        <v>124</v>
      </c>
      <c r="B125" s="9" t="s">
        <v>30</v>
      </c>
      <c r="C125" s="9" t="s">
        <v>73</v>
      </c>
      <c r="D125" s="9" t="s">
        <v>280</v>
      </c>
      <c r="E125" s="9" t="s">
        <v>257</v>
      </c>
      <c r="F125" s="13" t="s">
        <v>258</v>
      </c>
      <c r="G125" s="9" t="n">
        <v>6.9</v>
      </c>
      <c r="H125" s="9" t="s">
        <v>36</v>
      </c>
      <c r="I125" s="9"/>
      <c r="J125" s="9"/>
      <c r="K125" s="9" t="s">
        <v>259</v>
      </c>
      <c r="L125" s="0" t="n">
        <v>2003</v>
      </c>
      <c r="M125" s="9" t="s">
        <v>38</v>
      </c>
      <c r="N125" s="11" t="n">
        <v>-13.01417</v>
      </c>
      <c r="O125" s="11" t="n">
        <v>32.00944</v>
      </c>
      <c r="P125" s="9" t="s">
        <v>39</v>
      </c>
      <c r="Q125" s="9" t="s">
        <v>260</v>
      </c>
      <c r="R125" s="9" t="s">
        <v>261</v>
      </c>
      <c r="S125" s="9" t="s">
        <v>262</v>
      </c>
      <c r="T125" s="9" t="s">
        <v>43</v>
      </c>
      <c r="U125" s="9" t="n">
        <v>2</v>
      </c>
      <c r="V125" s="9" t="n">
        <v>2</v>
      </c>
      <c r="W125" s="9" t="n">
        <f aca="false">(100/1)*(100/1)</f>
        <v>10000</v>
      </c>
      <c r="X125" s="9"/>
      <c r="Y125" s="9" t="n">
        <f aca="false">W125+X125</f>
        <v>10000</v>
      </c>
      <c r="Z125" s="9" t="n">
        <v>36</v>
      </c>
      <c r="AA125" s="12" t="n">
        <f aca="false">AB125/G125</f>
        <v>0.333333333333333</v>
      </c>
      <c r="AB125" s="12" t="n">
        <v>2.3</v>
      </c>
      <c r="AC125" s="12" t="n">
        <f aca="false">G125/V125</f>
        <v>3.45</v>
      </c>
      <c r="AD125" s="12" t="n">
        <f aca="false">AB125/V125</f>
        <v>1.15</v>
      </c>
    </row>
    <row r="126" customFormat="false" ht="68.65" hidden="false" customHeight="false" outlineLevel="0" collapsed="false">
      <c r="A126" s="9" t="n">
        <v>125</v>
      </c>
      <c r="B126" s="9" t="s">
        <v>30</v>
      </c>
      <c r="C126" s="9" t="s">
        <v>73</v>
      </c>
      <c r="D126" s="9" t="s">
        <v>281</v>
      </c>
      <c r="E126" s="9" t="s">
        <v>257</v>
      </c>
      <c r="F126" s="13" t="s">
        <v>258</v>
      </c>
      <c r="G126" s="9" t="n">
        <v>6.4</v>
      </c>
      <c r="H126" s="9" t="s">
        <v>36</v>
      </c>
      <c r="I126" s="9"/>
      <c r="J126" s="9"/>
      <c r="K126" s="9" t="s">
        <v>259</v>
      </c>
      <c r="L126" s="0" t="n">
        <v>2003</v>
      </c>
      <c r="M126" s="9" t="s">
        <v>38</v>
      </c>
      <c r="N126" s="11" t="n">
        <v>-13.01417</v>
      </c>
      <c r="O126" s="11" t="n">
        <v>32.00944</v>
      </c>
      <c r="P126" s="9" t="s">
        <v>39</v>
      </c>
      <c r="Q126" s="9" t="s">
        <v>260</v>
      </c>
      <c r="R126" s="9" t="s">
        <v>261</v>
      </c>
      <c r="S126" s="9" t="s">
        <v>262</v>
      </c>
      <c r="T126" s="9" t="s">
        <v>43</v>
      </c>
      <c r="U126" s="9" t="n">
        <v>2</v>
      </c>
      <c r="V126" s="9" t="n">
        <v>2</v>
      </c>
      <c r="W126" s="9" t="n">
        <f aca="false">(100/1)*(100/1)</f>
        <v>10000</v>
      </c>
      <c r="X126" s="9"/>
      <c r="Y126" s="9" t="n">
        <f aca="false">W126+X126</f>
        <v>10000</v>
      </c>
      <c r="Z126" s="9" t="n">
        <v>36</v>
      </c>
      <c r="AA126" s="12" t="n">
        <f aca="false">AB126/G126</f>
        <v>0.328125</v>
      </c>
      <c r="AB126" s="12" t="n">
        <v>2.1</v>
      </c>
      <c r="AC126" s="12" t="n">
        <f aca="false">G126/V126</f>
        <v>3.2</v>
      </c>
      <c r="AD126" s="12" t="n">
        <f aca="false">AB126/V126</f>
        <v>1.05</v>
      </c>
    </row>
    <row r="127" customFormat="false" ht="68.65" hidden="false" customHeight="false" outlineLevel="0" collapsed="false">
      <c r="A127" s="9" t="n">
        <v>126</v>
      </c>
      <c r="B127" s="9" t="s">
        <v>30</v>
      </c>
      <c r="C127" s="9" t="s">
        <v>73</v>
      </c>
      <c r="D127" s="9" t="s">
        <v>282</v>
      </c>
      <c r="E127" s="9" t="s">
        <v>257</v>
      </c>
      <c r="F127" s="13" t="s">
        <v>258</v>
      </c>
      <c r="G127" s="9" t="n">
        <v>3</v>
      </c>
      <c r="H127" s="9" t="s">
        <v>36</v>
      </c>
      <c r="I127" s="9"/>
      <c r="J127" s="9"/>
      <c r="K127" s="9" t="s">
        <v>259</v>
      </c>
      <c r="L127" s="0" t="n">
        <v>2003</v>
      </c>
      <c r="M127" s="9" t="s">
        <v>38</v>
      </c>
      <c r="N127" s="11" t="n">
        <v>-13.01417</v>
      </c>
      <c r="O127" s="11" t="n">
        <v>32.00944</v>
      </c>
      <c r="P127" s="9" t="s">
        <v>39</v>
      </c>
      <c r="Q127" s="9" t="s">
        <v>260</v>
      </c>
      <c r="R127" s="9" t="s">
        <v>261</v>
      </c>
      <c r="S127" s="9" t="s">
        <v>262</v>
      </c>
      <c r="T127" s="9" t="s">
        <v>43</v>
      </c>
      <c r="U127" s="9" t="n">
        <v>2</v>
      </c>
      <c r="V127" s="9" t="n">
        <v>2</v>
      </c>
      <c r="W127" s="9" t="n">
        <f aca="false">(100/1)*(100/1)</f>
        <v>10000</v>
      </c>
      <c r="X127" s="9"/>
      <c r="Y127" s="9" t="n">
        <f aca="false">W127+X127</f>
        <v>10000</v>
      </c>
      <c r="Z127" s="9" t="n">
        <v>36</v>
      </c>
      <c r="AA127" s="12" t="n">
        <f aca="false">AB127/G127</f>
        <v>3</v>
      </c>
      <c r="AB127" s="12" t="n">
        <v>9</v>
      </c>
      <c r="AC127" s="12" t="n">
        <f aca="false">G127/V127</f>
        <v>1.5</v>
      </c>
      <c r="AD127" s="12" t="n">
        <f aca="false">AB127/V127</f>
        <v>4.5</v>
      </c>
    </row>
    <row r="128" customFormat="false" ht="68.65" hidden="false" customHeight="false" outlineLevel="0" collapsed="false">
      <c r="A128" s="9" t="n">
        <v>127</v>
      </c>
      <c r="B128" s="9" t="s">
        <v>30</v>
      </c>
      <c r="C128" s="9" t="s">
        <v>73</v>
      </c>
      <c r="D128" s="9" t="s">
        <v>283</v>
      </c>
      <c r="E128" s="9" t="s">
        <v>257</v>
      </c>
      <c r="F128" s="13" t="s">
        <v>258</v>
      </c>
      <c r="G128" s="9" t="n">
        <v>4.5</v>
      </c>
      <c r="H128" s="9" t="s">
        <v>36</v>
      </c>
      <c r="I128" s="9"/>
      <c r="J128" s="9"/>
      <c r="K128" s="9" t="s">
        <v>259</v>
      </c>
      <c r="L128" s="0" t="n">
        <v>2003</v>
      </c>
      <c r="M128" s="9" t="s">
        <v>38</v>
      </c>
      <c r="N128" s="11" t="n">
        <v>-13.01417</v>
      </c>
      <c r="O128" s="11" t="n">
        <v>32.00944</v>
      </c>
      <c r="P128" s="9" t="s">
        <v>39</v>
      </c>
      <c r="Q128" s="9" t="s">
        <v>260</v>
      </c>
      <c r="R128" s="9" t="s">
        <v>261</v>
      </c>
      <c r="S128" s="9" t="s">
        <v>262</v>
      </c>
      <c r="T128" s="9" t="s">
        <v>43</v>
      </c>
      <c r="U128" s="9" t="n">
        <v>2</v>
      </c>
      <c r="V128" s="9" t="n">
        <v>2</v>
      </c>
      <c r="W128" s="9" t="n">
        <f aca="false">(100/1)*(100/1)</f>
        <v>10000</v>
      </c>
      <c r="X128" s="9"/>
      <c r="Y128" s="9" t="n">
        <f aca="false">W128+X128</f>
        <v>10000</v>
      </c>
      <c r="Z128" s="9" t="n">
        <v>36</v>
      </c>
      <c r="AA128" s="12" t="n">
        <f aca="false">AB128/G128</f>
        <v>0.333333333333333</v>
      </c>
      <c r="AB128" s="12" t="n">
        <v>1.5</v>
      </c>
      <c r="AC128" s="12" t="n">
        <f aca="false">G128/V128</f>
        <v>2.25</v>
      </c>
      <c r="AD128" s="12" t="n">
        <f aca="false">AB128/V128</f>
        <v>0.75</v>
      </c>
    </row>
    <row r="129" customFormat="false" ht="13.8" hidden="false" customHeight="false" outlineLevel="0" collapsed="false">
      <c r="A129" s="9" t="n">
        <v>128</v>
      </c>
      <c r="B129" s="9" t="s">
        <v>30</v>
      </c>
      <c r="C129" s="9" t="s">
        <v>92</v>
      </c>
      <c r="D129" s="9" t="s">
        <v>284</v>
      </c>
      <c r="E129" s="9" t="s">
        <v>285</v>
      </c>
      <c r="F129" s="9" t="s">
        <v>286</v>
      </c>
      <c r="G129" s="9" t="n">
        <f aca="false">0.9+1.78+2.27</f>
        <v>4.95</v>
      </c>
      <c r="H129" s="9" t="s">
        <v>168</v>
      </c>
      <c r="I129" s="9"/>
      <c r="J129" s="9"/>
      <c r="K129" s="9" t="s">
        <v>287</v>
      </c>
      <c r="L129" s="0" t="n">
        <v>1997.5</v>
      </c>
      <c r="M129" s="9" t="s">
        <v>38</v>
      </c>
      <c r="N129" s="11" t="n">
        <v>29.65</v>
      </c>
      <c r="O129" s="11" t="n">
        <v>76.25</v>
      </c>
      <c r="P129" s="9" t="s">
        <v>39</v>
      </c>
      <c r="Q129" s="9" t="s">
        <v>40</v>
      </c>
      <c r="R129" s="9" t="s">
        <v>41</v>
      </c>
      <c r="S129" s="9" t="s">
        <v>192</v>
      </c>
      <c r="T129" s="9" t="s">
        <v>112</v>
      </c>
      <c r="U129" s="9" t="n">
        <f aca="false">1997-1991</f>
        <v>6</v>
      </c>
      <c r="V129" s="9" t="n">
        <f aca="false">1997-1991</f>
        <v>6</v>
      </c>
      <c r="W129" s="9" t="n">
        <v>1250</v>
      </c>
      <c r="X129" s="9"/>
      <c r="Y129" s="9" t="n">
        <f aca="false">W129+X129</f>
        <v>1250</v>
      </c>
      <c r="Z129" s="9"/>
      <c r="AA129" s="12" t="n">
        <f aca="false">AB129/G129</f>
        <v>0.298989898989899</v>
      </c>
      <c r="AB129" s="12" t="n">
        <f aca="false">1.2+0.28</f>
        <v>1.48</v>
      </c>
      <c r="AC129" s="12" t="n">
        <f aca="false">G129/V129</f>
        <v>0.825</v>
      </c>
      <c r="AD129" s="12" t="n">
        <f aca="false">AB129/V129</f>
        <v>0.246666666666667</v>
      </c>
    </row>
    <row r="130" customFormat="false" ht="13.8" hidden="false" customHeight="false" outlineLevel="0" collapsed="false">
      <c r="A130" s="9" t="n">
        <v>129</v>
      </c>
      <c r="B130" s="9" t="s">
        <v>30</v>
      </c>
      <c r="C130" s="9" t="s">
        <v>92</v>
      </c>
      <c r="D130" s="9" t="s">
        <v>288</v>
      </c>
      <c r="E130" s="9" t="s">
        <v>285</v>
      </c>
      <c r="F130" s="9" t="s">
        <v>286</v>
      </c>
      <c r="G130" s="9" t="n">
        <f aca="false">1.54+2.55+1.94</f>
        <v>6.03</v>
      </c>
      <c r="H130" s="9" t="s">
        <v>168</v>
      </c>
      <c r="I130" s="9"/>
      <c r="J130" s="9"/>
      <c r="K130" s="9" t="s">
        <v>287</v>
      </c>
      <c r="L130" s="0" t="n">
        <v>1997.5</v>
      </c>
      <c r="M130" s="9" t="s">
        <v>38</v>
      </c>
      <c r="N130" s="11" t="n">
        <v>29.65</v>
      </c>
      <c r="O130" s="11" t="n">
        <v>76.25</v>
      </c>
      <c r="P130" s="9" t="s">
        <v>39</v>
      </c>
      <c r="Q130" s="9" t="s">
        <v>40</v>
      </c>
      <c r="R130" s="9" t="s">
        <v>41</v>
      </c>
      <c r="S130" s="9" t="s">
        <v>192</v>
      </c>
      <c r="T130" s="9" t="s">
        <v>112</v>
      </c>
      <c r="U130" s="9" t="n">
        <f aca="false">1997-1991</f>
        <v>6</v>
      </c>
      <c r="V130" s="9" t="n">
        <f aca="false">1997-1991</f>
        <v>6</v>
      </c>
      <c r="W130" s="9" t="n">
        <v>1250</v>
      </c>
      <c r="X130" s="9"/>
      <c r="Y130" s="9" t="n">
        <f aca="false">W130+X130</f>
        <v>1250</v>
      </c>
      <c r="Z130" s="9"/>
      <c r="AA130" s="12" t="n">
        <f aca="false">AB130/G130</f>
        <v>0.341625207296849</v>
      </c>
      <c r="AB130" s="12" t="n">
        <f aca="false">1.57+0.49</f>
        <v>2.06</v>
      </c>
      <c r="AC130" s="12" t="n">
        <f aca="false">G130/V130</f>
        <v>1.005</v>
      </c>
      <c r="AD130" s="12" t="n">
        <f aca="false">AB130/V130</f>
        <v>0.343333333333333</v>
      </c>
    </row>
    <row r="131" customFormat="false" ht="13.8" hidden="false" customHeight="false" outlineLevel="0" collapsed="false">
      <c r="A131" s="9" t="n">
        <v>130</v>
      </c>
      <c r="B131" s="9" t="s">
        <v>30</v>
      </c>
      <c r="C131" s="9" t="s">
        <v>92</v>
      </c>
      <c r="D131" s="9" t="s">
        <v>289</v>
      </c>
      <c r="E131" s="9" t="s">
        <v>285</v>
      </c>
      <c r="F131" s="9" t="s">
        <v>286</v>
      </c>
      <c r="G131" s="9" t="n">
        <f aca="false">0.13+0.1+0.1</f>
        <v>0.33</v>
      </c>
      <c r="H131" s="9" t="s">
        <v>168</v>
      </c>
      <c r="I131" s="9"/>
      <c r="J131" s="9"/>
      <c r="K131" s="9" t="s">
        <v>287</v>
      </c>
      <c r="L131" s="0" t="n">
        <v>1997.5</v>
      </c>
      <c r="M131" s="9" t="s">
        <v>38</v>
      </c>
      <c r="N131" s="11" t="n">
        <v>29.65</v>
      </c>
      <c r="O131" s="11" t="n">
        <v>76.25</v>
      </c>
      <c r="P131" s="9" t="s">
        <v>39</v>
      </c>
      <c r="Q131" s="9" t="s">
        <v>40</v>
      </c>
      <c r="R131" s="9" t="s">
        <v>41</v>
      </c>
      <c r="S131" s="9" t="s">
        <v>192</v>
      </c>
      <c r="T131" s="9" t="s">
        <v>112</v>
      </c>
      <c r="U131" s="9" t="n">
        <f aca="false">1997-1991</f>
        <v>6</v>
      </c>
      <c r="V131" s="9" t="n">
        <f aca="false">1997-1991</f>
        <v>6</v>
      </c>
      <c r="W131" s="9" t="n">
        <v>1250</v>
      </c>
      <c r="X131" s="9"/>
      <c r="Y131" s="9" t="n">
        <f aca="false">W131+X131</f>
        <v>1250</v>
      </c>
      <c r="Z131" s="9"/>
      <c r="AA131" s="12" t="n">
        <f aca="false">AB131/G131</f>
        <v>0.333333333333333</v>
      </c>
      <c r="AB131" s="12" t="n">
        <f aca="false">0.08+0.03</f>
        <v>0.11</v>
      </c>
      <c r="AC131" s="12" t="n">
        <f aca="false">G131/V131</f>
        <v>0.055</v>
      </c>
      <c r="AD131" s="12" t="n">
        <f aca="false">AB131/V131</f>
        <v>0.0183333333333333</v>
      </c>
    </row>
    <row r="132" customFormat="false" ht="13.8" hidden="false" customHeight="false" outlineLevel="0" collapsed="false">
      <c r="A132" s="9" t="n">
        <v>131</v>
      </c>
      <c r="B132" s="9" t="s">
        <v>30</v>
      </c>
      <c r="C132" s="9" t="s">
        <v>92</v>
      </c>
      <c r="D132" s="9" t="s">
        <v>290</v>
      </c>
      <c r="E132" s="9" t="s">
        <v>285</v>
      </c>
      <c r="F132" s="9" t="s">
        <v>286</v>
      </c>
      <c r="G132" s="9" t="n">
        <f aca="false">1.96+8.68+4.16</f>
        <v>14.8</v>
      </c>
      <c r="H132" s="9" t="s">
        <v>168</v>
      </c>
      <c r="I132" s="9"/>
      <c r="J132" s="9"/>
      <c r="K132" s="9" t="s">
        <v>287</v>
      </c>
      <c r="L132" s="0" t="n">
        <v>1997.5</v>
      </c>
      <c r="M132" s="9" t="s">
        <v>38</v>
      </c>
      <c r="N132" s="11" t="n">
        <v>29.65</v>
      </c>
      <c r="O132" s="11" t="n">
        <v>76.25</v>
      </c>
      <c r="P132" s="9" t="s">
        <v>39</v>
      </c>
      <c r="Q132" s="9" t="s">
        <v>40</v>
      </c>
      <c r="R132" s="9" t="s">
        <v>41</v>
      </c>
      <c r="S132" s="9" t="s">
        <v>192</v>
      </c>
      <c r="T132" s="9" t="s">
        <v>112</v>
      </c>
      <c r="U132" s="9" t="n">
        <f aca="false">1997-1991</f>
        <v>6</v>
      </c>
      <c r="V132" s="9" t="n">
        <f aca="false">1997-1991</f>
        <v>6</v>
      </c>
      <c r="W132" s="9" t="n">
        <v>1250</v>
      </c>
      <c r="X132" s="9"/>
      <c r="Y132" s="9" t="n">
        <f aca="false">W132+X132</f>
        <v>1250</v>
      </c>
      <c r="Z132" s="9"/>
      <c r="AA132" s="12" t="n">
        <f aca="false">AB132/G132</f>
        <v>0.247297297297297</v>
      </c>
      <c r="AB132" s="12" t="n">
        <f aca="false">2.77+0.89</f>
        <v>3.66</v>
      </c>
      <c r="AC132" s="12" t="n">
        <f aca="false">G132/V132</f>
        <v>2.46666666666667</v>
      </c>
      <c r="AD132" s="12" t="n">
        <f aca="false">AB132/V132</f>
        <v>0.61</v>
      </c>
    </row>
    <row r="133" customFormat="false" ht="13.8" hidden="false" customHeight="false" outlineLevel="0" collapsed="false">
      <c r="A133" s="9" t="n">
        <v>132</v>
      </c>
      <c r="B133" s="9" t="s">
        <v>30</v>
      </c>
      <c r="C133" s="9" t="s">
        <v>92</v>
      </c>
      <c r="D133" s="9" t="s">
        <v>291</v>
      </c>
      <c r="E133" s="9" t="s">
        <v>285</v>
      </c>
      <c r="F133" s="9" t="s">
        <v>286</v>
      </c>
      <c r="G133" s="9" t="n">
        <f aca="false">1.04+4.86+3.38</f>
        <v>9.28</v>
      </c>
      <c r="H133" s="9" t="s">
        <v>168</v>
      </c>
      <c r="I133" s="9"/>
      <c r="J133" s="9"/>
      <c r="K133" s="9" t="s">
        <v>287</v>
      </c>
      <c r="L133" s="0" t="n">
        <v>1997.5</v>
      </c>
      <c r="M133" s="9" t="s">
        <v>38</v>
      </c>
      <c r="N133" s="11" t="n">
        <v>29.65</v>
      </c>
      <c r="O133" s="11" t="n">
        <v>76.25</v>
      </c>
      <c r="P133" s="9" t="s">
        <v>39</v>
      </c>
      <c r="Q133" s="9" t="s">
        <v>40</v>
      </c>
      <c r="R133" s="9" t="s">
        <v>41</v>
      </c>
      <c r="S133" s="9" t="s">
        <v>192</v>
      </c>
      <c r="T133" s="9" t="s">
        <v>112</v>
      </c>
      <c r="U133" s="9" t="n">
        <f aca="false">1997-1991</f>
        <v>6</v>
      </c>
      <c r="V133" s="9" t="n">
        <f aca="false">1997-1991</f>
        <v>6</v>
      </c>
      <c r="W133" s="9" t="n">
        <v>1250</v>
      </c>
      <c r="X133" s="9"/>
      <c r="Y133" s="9" t="n">
        <f aca="false">W133+X133</f>
        <v>1250</v>
      </c>
      <c r="Z133" s="9"/>
      <c r="AA133" s="12" t="n">
        <f aca="false">AB133/G133</f>
        <v>0.301724137931034</v>
      </c>
      <c r="AB133" s="12" t="n">
        <f aca="false">2.35+0.45</f>
        <v>2.8</v>
      </c>
      <c r="AC133" s="12" t="n">
        <f aca="false">G133/V133</f>
        <v>1.54666666666667</v>
      </c>
      <c r="AD133" s="12" t="n">
        <f aca="false">AB133/V133</f>
        <v>0.466666666666667</v>
      </c>
    </row>
    <row r="134" customFormat="false" ht="13.8" hidden="false" customHeight="false" outlineLevel="0" collapsed="false">
      <c r="A134" s="9" t="n">
        <v>133</v>
      </c>
      <c r="B134" s="9" t="s">
        <v>30</v>
      </c>
      <c r="C134" s="9" t="s">
        <v>73</v>
      </c>
      <c r="D134" s="9" t="s">
        <v>292</v>
      </c>
      <c r="E134" s="9" t="s">
        <v>293</v>
      </c>
      <c r="F134" s="9" t="s">
        <v>294</v>
      </c>
      <c r="G134" s="9" t="n">
        <v>11.6</v>
      </c>
      <c r="H134" s="9" t="s">
        <v>168</v>
      </c>
      <c r="I134" s="9"/>
      <c r="J134" s="9"/>
      <c r="K134" s="9" t="s">
        <v>295</v>
      </c>
      <c r="L134" s="0" t="n">
        <v>2004</v>
      </c>
      <c r="M134" s="9" t="s">
        <v>38</v>
      </c>
      <c r="N134" s="11" t="n">
        <v>6.666667</v>
      </c>
      <c r="O134" s="11" t="n">
        <v>37.65</v>
      </c>
      <c r="P134" s="9" t="s">
        <v>39</v>
      </c>
      <c r="Q134" s="9" t="s">
        <v>40</v>
      </c>
      <c r="R134" s="9" t="s">
        <v>41</v>
      </c>
      <c r="S134" s="9" t="s">
        <v>296</v>
      </c>
      <c r="T134" s="9" t="s">
        <v>43</v>
      </c>
      <c r="U134" s="9" t="n">
        <v>5</v>
      </c>
      <c r="V134" s="9" t="n">
        <v>5</v>
      </c>
      <c r="W134" s="9"/>
      <c r="X134" s="9"/>
      <c r="Y134" s="9"/>
      <c r="Z134" s="9"/>
      <c r="AA134" s="12" t="n">
        <v>0.24</v>
      </c>
      <c r="AB134" s="12"/>
      <c r="AC134" s="12" t="n">
        <f aca="false">G134/V134</f>
        <v>2.32</v>
      </c>
      <c r="AD134" s="12" t="n">
        <f aca="false">(G134/V134)*AA134</f>
        <v>0.5568</v>
      </c>
    </row>
    <row r="135" customFormat="false" ht="13.8" hidden="false" customHeight="false" outlineLevel="0" collapsed="false">
      <c r="A135" s="9" t="n">
        <v>134</v>
      </c>
      <c r="B135" s="9" t="s">
        <v>30</v>
      </c>
      <c r="C135" s="9" t="s">
        <v>73</v>
      </c>
      <c r="D135" s="9" t="s">
        <v>297</v>
      </c>
      <c r="E135" s="9" t="s">
        <v>293</v>
      </c>
      <c r="F135" s="9" t="s">
        <v>298</v>
      </c>
      <c r="G135" s="9" t="n">
        <v>25.5</v>
      </c>
      <c r="H135" s="9" t="s">
        <v>168</v>
      </c>
      <c r="I135" s="9"/>
      <c r="J135" s="9"/>
      <c r="K135" s="9" t="s">
        <v>295</v>
      </c>
      <c r="L135" s="0" t="n">
        <v>2004</v>
      </c>
      <c r="M135" s="9" t="s">
        <v>38</v>
      </c>
      <c r="N135" s="11" t="n">
        <v>6.666667</v>
      </c>
      <c r="O135" s="11" t="n">
        <v>37.65</v>
      </c>
      <c r="P135" s="9" t="s">
        <v>39</v>
      </c>
      <c r="Q135" s="9" t="s">
        <v>40</v>
      </c>
      <c r="R135" s="9" t="s">
        <v>41</v>
      </c>
      <c r="S135" s="9" t="s">
        <v>296</v>
      </c>
      <c r="T135" s="9" t="s">
        <v>43</v>
      </c>
      <c r="U135" s="9" t="n">
        <v>5</v>
      </c>
      <c r="V135" s="9" t="n">
        <v>5</v>
      </c>
      <c r="W135" s="9"/>
      <c r="X135" s="9"/>
      <c r="Y135" s="9"/>
      <c r="Z135" s="9"/>
      <c r="AA135" s="12" t="n">
        <v>0.24</v>
      </c>
      <c r="AB135" s="12"/>
      <c r="AC135" s="12" t="n">
        <f aca="false">G135/V135</f>
        <v>5.1</v>
      </c>
      <c r="AD135" s="12" t="n">
        <f aca="false">(G135/V135)*AA135</f>
        <v>1.224</v>
      </c>
    </row>
    <row r="136" customFormat="false" ht="13.8" hidden="false" customHeight="false" outlineLevel="0" collapsed="false">
      <c r="A136" s="9" t="n">
        <v>135</v>
      </c>
      <c r="B136" s="9" t="s">
        <v>30</v>
      </c>
      <c r="C136" s="9" t="s">
        <v>73</v>
      </c>
      <c r="D136" s="9" t="s">
        <v>299</v>
      </c>
      <c r="E136" s="9" t="s">
        <v>293</v>
      </c>
      <c r="F136" s="9" t="s">
        <v>300</v>
      </c>
      <c r="G136" s="9" t="n">
        <v>15.4</v>
      </c>
      <c r="H136" s="9" t="s">
        <v>168</v>
      </c>
      <c r="I136" s="9"/>
      <c r="J136" s="9"/>
      <c r="K136" s="9" t="s">
        <v>295</v>
      </c>
      <c r="L136" s="0" t="n">
        <v>2004</v>
      </c>
      <c r="M136" s="9" t="s">
        <v>38</v>
      </c>
      <c r="N136" s="11" t="n">
        <v>6.666667</v>
      </c>
      <c r="O136" s="11" t="n">
        <v>37.65</v>
      </c>
      <c r="P136" s="9" t="s">
        <v>39</v>
      </c>
      <c r="Q136" s="9" t="s">
        <v>40</v>
      </c>
      <c r="R136" s="9" t="s">
        <v>41</v>
      </c>
      <c r="S136" s="9" t="s">
        <v>296</v>
      </c>
      <c r="T136" s="9" t="s">
        <v>43</v>
      </c>
      <c r="U136" s="9" t="n">
        <v>5</v>
      </c>
      <c r="V136" s="9" t="n">
        <v>5</v>
      </c>
      <c r="W136" s="9"/>
      <c r="X136" s="9"/>
      <c r="Y136" s="9"/>
      <c r="Z136" s="9"/>
      <c r="AA136" s="12" t="n">
        <v>0.24</v>
      </c>
      <c r="AB136" s="12"/>
      <c r="AC136" s="12" t="n">
        <f aca="false">G136/V136</f>
        <v>3.08</v>
      </c>
      <c r="AD136" s="12" t="n">
        <f aca="false">(G136/V136)*AA136</f>
        <v>0.7392</v>
      </c>
    </row>
    <row r="137" customFormat="false" ht="13.8" hidden="false" customHeight="false" outlineLevel="0" collapsed="false">
      <c r="A137" s="9" t="n">
        <v>136</v>
      </c>
      <c r="B137" s="9" t="s">
        <v>30</v>
      </c>
      <c r="C137" s="9" t="s">
        <v>73</v>
      </c>
      <c r="D137" s="9" t="s">
        <v>301</v>
      </c>
      <c r="E137" s="9" t="s">
        <v>293</v>
      </c>
      <c r="F137" s="9" t="s">
        <v>302</v>
      </c>
      <c r="G137" s="9" t="n">
        <v>19.2</v>
      </c>
      <c r="H137" s="9" t="s">
        <v>168</v>
      </c>
      <c r="I137" s="9"/>
      <c r="J137" s="9"/>
      <c r="K137" s="9" t="s">
        <v>295</v>
      </c>
      <c r="L137" s="0" t="n">
        <v>2004</v>
      </c>
      <c r="M137" s="9" t="s">
        <v>38</v>
      </c>
      <c r="N137" s="11" t="n">
        <v>6.666667</v>
      </c>
      <c r="O137" s="11" t="n">
        <v>37.65</v>
      </c>
      <c r="P137" s="9" t="s">
        <v>39</v>
      </c>
      <c r="Q137" s="9" t="s">
        <v>40</v>
      </c>
      <c r="R137" s="9" t="s">
        <v>41</v>
      </c>
      <c r="S137" s="9" t="s">
        <v>296</v>
      </c>
      <c r="T137" s="9" t="s">
        <v>43</v>
      </c>
      <c r="U137" s="9" t="n">
        <v>5</v>
      </c>
      <c r="V137" s="9" t="n">
        <v>5</v>
      </c>
      <c r="W137" s="9"/>
      <c r="X137" s="9"/>
      <c r="Y137" s="9"/>
      <c r="Z137" s="9"/>
      <c r="AA137" s="12" t="n">
        <v>0.24</v>
      </c>
      <c r="AB137" s="12"/>
      <c r="AC137" s="12" t="n">
        <f aca="false">G137/V137</f>
        <v>3.84</v>
      </c>
      <c r="AD137" s="12" t="n">
        <f aca="false">(G137/V137)*AA137</f>
        <v>0.9216</v>
      </c>
    </row>
    <row r="138" customFormat="false" ht="13.8" hidden="false" customHeight="false" outlineLevel="0" collapsed="false">
      <c r="A138" s="9" t="n">
        <v>137</v>
      </c>
      <c r="B138" s="9" t="s">
        <v>30</v>
      </c>
      <c r="C138" s="9" t="s">
        <v>73</v>
      </c>
      <c r="D138" s="9" t="s">
        <v>303</v>
      </c>
      <c r="E138" s="9" t="s">
        <v>293</v>
      </c>
      <c r="F138" s="9" t="s">
        <v>304</v>
      </c>
      <c r="G138" s="9" t="n">
        <v>18.9</v>
      </c>
      <c r="H138" s="9" t="s">
        <v>168</v>
      </c>
      <c r="I138" s="9"/>
      <c r="J138" s="9"/>
      <c r="K138" s="9" t="s">
        <v>295</v>
      </c>
      <c r="L138" s="0" t="n">
        <v>2004</v>
      </c>
      <c r="M138" s="9" t="s">
        <v>38</v>
      </c>
      <c r="N138" s="11" t="n">
        <v>6.666667</v>
      </c>
      <c r="O138" s="11" t="n">
        <v>37.65</v>
      </c>
      <c r="P138" s="9" t="s">
        <v>39</v>
      </c>
      <c r="Q138" s="9" t="s">
        <v>40</v>
      </c>
      <c r="R138" s="9" t="s">
        <v>41</v>
      </c>
      <c r="S138" s="9" t="s">
        <v>296</v>
      </c>
      <c r="T138" s="9" t="s">
        <v>43</v>
      </c>
      <c r="U138" s="9" t="n">
        <v>5</v>
      </c>
      <c r="V138" s="9" t="n">
        <v>5</v>
      </c>
      <c r="W138" s="9"/>
      <c r="X138" s="9"/>
      <c r="Y138" s="9"/>
      <c r="Z138" s="9"/>
      <c r="AA138" s="12" t="n">
        <v>0.24</v>
      </c>
      <c r="AB138" s="12"/>
      <c r="AC138" s="12" t="n">
        <f aca="false">G138/V138</f>
        <v>3.78</v>
      </c>
      <c r="AD138" s="12" t="n">
        <f aca="false">(G138/V138)*AA138</f>
        <v>0.9072</v>
      </c>
    </row>
    <row r="139" customFormat="false" ht="13.8" hidden="false" customHeight="false" outlineLevel="0" collapsed="false">
      <c r="A139" s="9" t="n">
        <v>138</v>
      </c>
      <c r="B139" s="9" t="s">
        <v>30</v>
      </c>
      <c r="C139" s="9" t="s">
        <v>73</v>
      </c>
      <c r="D139" s="9" t="s">
        <v>305</v>
      </c>
      <c r="E139" s="9" t="s">
        <v>293</v>
      </c>
      <c r="F139" s="9" t="s">
        <v>306</v>
      </c>
      <c r="G139" s="9" t="n">
        <v>11.6</v>
      </c>
      <c r="H139" s="9" t="s">
        <v>168</v>
      </c>
      <c r="I139" s="9"/>
      <c r="J139" s="9"/>
      <c r="K139" s="9" t="s">
        <v>295</v>
      </c>
      <c r="L139" s="0" t="n">
        <v>2004</v>
      </c>
      <c r="M139" s="9" t="s">
        <v>38</v>
      </c>
      <c r="N139" s="11" t="n">
        <v>6.666667</v>
      </c>
      <c r="O139" s="11" t="n">
        <v>37.65</v>
      </c>
      <c r="P139" s="9" t="s">
        <v>39</v>
      </c>
      <c r="Q139" s="9" t="s">
        <v>40</v>
      </c>
      <c r="R139" s="9" t="s">
        <v>41</v>
      </c>
      <c r="S139" s="9" t="s">
        <v>296</v>
      </c>
      <c r="T139" s="9" t="s">
        <v>43</v>
      </c>
      <c r="U139" s="9" t="n">
        <v>5</v>
      </c>
      <c r="V139" s="9" t="n">
        <v>5</v>
      </c>
      <c r="W139" s="9"/>
      <c r="X139" s="9"/>
      <c r="Y139" s="9"/>
      <c r="Z139" s="9"/>
      <c r="AA139" s="12" t="n">
        <v>0.24</v>
      </c>
      <c r="AB139" s="12"/>
      <c r="AC139" s="12" t="n">
        <f aca="false">G139/V139</f>
        <v>2.32</v>
      </c>
      <c r="AD139" s="12" t="n">
        <f aca="false">(G139/V139)*AA139</f>
        <v>0.5568</v>
      </c>
    </row>
    <row r="140" customFormat="false" ht="13.8" hidden="false" customHeight="false" outlineLevel="0" collapsed="false">
      <c r="A140" s="9" t="n">
        <v>139</v>
      </c>
      <c r="B140" s="9" t="s">
        <v>30</v>
      </c>
      <c r="C140" s="9" t="s">
        <v>73</v>
      </c>
      <c r="D140" s="9" t="s">
        <v>307</v>
      </c>
      <c r="E140" s="9" t="s">
        <v>293</v>
      </c>
      <c r="F140" s="9" t="s">
        <v>308</v>
      </c>
      <c r="G140" s="9" t="n">
        <v>18</v>
      </c>
      <c r="H140" s="9" t="s">
        <v>168</v>
      </c>
      <c r="I140" s="9"/>
      <c r="J140" s="9"/>
      <c r="K140" s="9" t="s">
        <v>295</v>
      </c>
      <c r="L140" s="0" t="n">
        <v>2004</v>
      </c>
      <c r="M140" s="9" t="s">
        <v>38</v>
      </c>
      <c r="N140" s="11" t="n">
        <v>6.666667</v>
      </c>
      <c r="O140" s="11" t="n">
        <v>37.65</v>
      </c>
      <c r="P140" s="9" t="s">
        <v>39</v>
      </c>
      <c r="Q140" s="9" t="s">
        <v>40</v>
      </c>
      <c r="R140" s="9" t="s">
        <v>41</v>
      </c>
      <c r="S140" s="9" t="s">
        <v>296</v>
      </c>
      <c r="T140" s="9" t="s">
        <v>43</v>
      </c>
      <c r="U140" s="9" t="n">
        <v>5</v>
      </c>
      <c r="V140" s="9" t="n">
        <v>5</v>
      </c>
      <c r="W140" s="9"/>
      <c r="X140" s="9"/>
      <c r="Y140" s="9"/>
      <c r="Z140" s="9"/>
      <c r="AA140" s="12" t="n">
        <v>0.24</v>
      </c>
      <c r="AB140" s="12"/>
      <c r="AC140" s="12" t="n">
        <f aca="false">G140/V140</f>
        <v>3.6</v>
      </c>
      <c r="AD140" s="12" t="n">
        <f aca="false">(G140/V140)*AA140</f>
        <v>0.864</v>
      </c>
    </row>
    <row r="141" customFormat="false" ht="13.8" hidden="false" customHeight="false" outlineLevel="0" collapsed="false">
      <c r="A141" s="9" t="n">
        <v>140</v>
      </c>
      <c r="B141" s="9" t="s">
        <v>30</v>
      </c>
      <c r="C141" s="9" t="s">
        <v>73</v>
      </c>
      <c r="D141" s="9" t="s">
        <v>309</v>
      </c>
      <c r="E141" s="9" t="s">
        <v>293</v>
      </c>
      <c r="F141" s="9" t="s">
        <v>310</v>
      </c>
      <c r="G141" s="9" t="n">
        <v>14.5</v>
      </c>
      <c r="H141" s="9" t="s">
        <v>168</v>
      </c>
      <c r="I141" s="9"/>
      <c r="J141" s="9"/>
      <c r="K141" s="9" t="s">
        <v>295</v>
      </c>
      <c r="L141" s="0" t="n">
        <v>2004</v>
      </c>
      <c r="M141" s="9" t="s">
        <v>38</v>
      </c>
      <c r="N141" s="11" t="n">
        <v>6.666667</v>
      </c>
      <c r="O141" s="11" t="n">
        <v>37.65</v>
      </c>
      <c r="P141" s="9" t="s">
        <v>39</v>
      </c>
      <c r="Q141" s="9" t="s">
        <v>40</v>
      </c>
      <c r="R141" s="9" t="s">
        <v>41</v>
      </c>
      <c r="S141" s="9" t="s">
        <v>296</v>
      </c>
      <c r="T141" s="9" t="s">
        <v>43</v>
      </c>
      <c r="U141" s="9" t="n">
        <v>5</v>
      </c>
      <c r="V141" s="9" t="n">
        <v>5</v>
      </c>
      <c r="W141" s="9"/>
      <c r="X141" s="9"/>
      <c r="Y141" s="9"/>
      <c r="Z141" s="9"/>
      <c r="AA141" s="12" t="n">
        <v>0.24</v>
      </c>
      <c r="AB141" s="12"/>
      <c r="AC141" s="12" t="n">
        <f aca="false">G141/V141</f>
        <v>2.9</v>
      </c>
      <c r="AD141" s="12" t="n">
        <f aca="false">(G141/V141)*AA141</f>
        <v>0.696</v>
      </c>
    </row>
    <row r="142" customFormat="false" ht="13.8" hidden="false" customHeight="false" outlineLevel="0" collapsed="false">
      <c r="A142" s="9" t="n">
        <v>141</v>
      </c>
      <c r="B142" s="9" t="s">
        <v>30</v>
      </c>
      <c r="C142" s="9" t="s">
        <v>73</v>
      </c>
      <c r="D142" s="9" t="s">
        <v>311</v>
      </c>
      <c r="E142" s="9" t="s">
        <v>293</v>
      </c>
      <c r="F142" s="9" t="s">
        <v>312</v>
      </c>
      <c r="G142" s="9" t="n">
        <v>16.8</v>
      </c>
      <c r="H142" s="9" t="s">
        <v>168</v>
      </c>
      <c r="I142" s="9"/>
      <c r="J142" s="9"/>
      <c r="K142" s="9" t="s">
        <v>295</v>
      </c>
      <c r="L142" s="0" t="n">
        <v>2004</v>
      </c>
      <c r="M142" s="9" t="s">
        <v>38</v>
      </c>
      <c r="N142" s="11" t="n">
        <v>6.666667</v>
      </c>
      <c r="O142" s="11" t="n">
        <v>37.65</v>
      </c>
      <c r="P142" s="9" t="s">
        <v>39</v>
      </c>
      <c r="Q142" s="9" t="s">
        <v>40</v>
      </c>
      <c r="R142" s="9" t="s">
        <v>41</v>
      </c>
      <c r="S142" s="9" t="s">
        <v>296</v>
      </c>
      <c r="T142" s="9" t="s">
        <v>43</v>
      </c>
      <c r="U142" s="9" t="n">
        <v>5</v>
      </c>
      <c r="V142" s="9" t="n">
        <v>5</v>
      </c>
      <c r="W142" s="9"/>
      <c r="X142" s="9"/>
      <c r="Y142" s="9"/>
      <c r="Z142" s="9"/>
      <c r="AA142" s="12" t="n">
        <v>0.24</v>
      </c>
      <c r="AB142" s="12"/>
      <c r="AC142" s="12" t="n">
        <f aca="false">G142/V142</f>
        <v>3.36</v>
      </c>
      <c r="AD142" s="12" t="n">
        <f aca="false">(G142/V142)*AA142</f>
        <v>0.8064</v>
      </c>
    </row>
    <row r="143" customFormat="false" ht="13.8" hidden="false" customHeight="false" outlineLevel="0" collapsed="false">
      <c r="A143" s="9" t="n">
        <v>142</v>
      </c>
      <c r="B143" s="9" t="s">
        <v>30</v>
      </c>
      <c r="C143" s="9" t="s">
        <v>115</v>
      </c>
      <c r="D143" s="9" t="s">
        <v>313</v>
      </c>
      <c r="E143" s="9" t="s">
        <v>314</v>
      </c>
      <c r="F143" s="9" t="s">
        <v>315</v>
      </c>
      <c r="G143" s="9" t="n">
        <f aca="false">71.9+3.1+0.19+0.14</f>
        <v>75.33</v>
      </c>
      <c r="H143" s="9" t="s">
        <v>36</v>
      </c>
      <c r="I143" s="9"/>
      <c r="J143" s="9"/>
      <c r="K143" s="9" t="s">
        <v>316</v>
      </c>
      <c r="L143" s="0" t="n">
        <v>2004</v>
      </c>
      <c r="M143" s="9" t="s">
        <v>38</v>
      </c>
      <c r="N143" s="11" t="n">
        <v>8.970833</v>
      </c>
      <c r="O143" s="11" t="n">
        <v>-78.51667</v>
      </c>
      <c r="P143" s="9" t="s">
        <v>39</v>
      </c>
      <c r="Q143" s="9" t="s">
        <v>110</v>
      </c>
      <c r="R143" s="9" t="s">
        <v>41</v>
      </c>
      <c r="S143" s="9" t="s">
        <v>317</v>
      </c>
      <c r="T143" s="9" t="s">
        <v>233</v>
      </c>
      <c r="U143" s="9" t="n">
        <v>23.2</v>
      </c>
      <c r="V143" s="9" t="n">
        <v>23.2</v>
      </c>
      <c r="W143" s="9"/>
      <c r="X143" s="9"/>
      <c r="Y143" s="9"/>
      <c r="Z143" s="9"/>
      <c r="AA143" s="12" t="n">
        <v>0.24</v>
      </c>
      <c r="AB143" s="12" t="n">
        <v>18</v>
      </c>
      <c r="AC143" s="12" t="n">
        <f aca="false">G143/V143</f>
        <v>3.24698275862069</v>
      </c>
      <c r="AD143" s="12" t="n">
        <f aca="false">AB143/V143</f>
        <v>0.775862068965517</v>
      </c>
    </row>
    <row r="144" customFormat="false" ht="13.8" hidden="false" customHeight="false" outlineLevel="0" collapsed="false">
      <c r="A144" s="9" t="n">
        <v>143</v>
      </c>
      <c r="B144" s="9" t="s">
        <v>30</v>
      </c>
      <c r="C144" s="9" t="s">
        <v>318</v>
      </c>
      <c r="D144" s="9" t="s">
        <v>319</v>
      </c>
      <c r="E144" s="9" t="s">
        <v>320</v>
      </c>
      <c r="F144" s="9" t="s">
        <v>321</v>
      </c>
      <c r="G144" s="9" t="n">
        <v>161.8</v>
      </c>
      <c r="H144" s="9" t="s">
        <v>322</v>
      </c>
      <c r="I144" s="9" t="n">
        <v>31</v>
      </c>
      <c r="J144" s="9" t="s">
        <v>36</v>
      </c>
      <c r="K144" s="9" t="s">
        <v>323</v>
      </c>
      <c r="L144" s="0" t="n">
        <v>1995</v>
      </c>
      <c r="M144" s="9" t="s">
        <v>38</v>
      </c>
      <c r="N144" s="11" t="n">
        <v>52.648198</v>
      </c>
      <c r="O144" s="11" t="n">
        <v>-106.51939</v>
      </c>
      <c r="P144" s="9" t="s">
        <v>97</v>
      </c>
      <c r="Q144" s="9" t="s">
        <v>98</v>
      </c>
      <c r="R144" s="9" t="s">
        <v>99</v>
      </c>
      <c r="S144" s="9" t="s">
        <v>324</v>
      </c>
      <c r="T144" s="9" t="s">
        <v>325</v>
      </c>
      <c r="U144" s="9" t="n">
        <v>53</v>
      </c>
      <c r="V144" s="9" t="n">
        <v>53</v>
      </c>
      <c r="W144" s="16" t="n">
        <f aca="false">1000/2.5</f>
        <v>400</v>
      </c>
      <c r="X144" s="9"/>
      <c r="Y144" s="16" t="n">
        <f aca="false">W144+X144</f>
        <v>400</v>
      </c>
      <c r="Z144" s="9"/>
      <c r="AA144" s="12" t="n">
        <v>0.26</v>
      </c>
      <c r="AB144" s="12"/>
      <c r="AC144" s="12" t="n">
        <f aca="false">I144/V144</f>
        <v>0.584905660377358</v>
      </c>
      <c r="AD144" s="12" t="n">
        <f aca="false">(I144/V144)*AA144</f>
        <v>0.152075471698113</v>
      </c>
    </row>
    <row r="145" customFormat="false" ht="13.8" hidden="false" customHeight="false" outlineLevel="0" collapsed="false">
      <c r="A145" s="9" t="n">
        <v>144</v>
      </c>
      <c r="B145" s="9" t="s">
        <v>30</v>
      </c>
      <c r="C145" s="9" t="s">
        <v>318</v>
      </c>
      <c r="D145" s="9" t="s">
        <v>326</v>
      </c>
      <c r="E145" s="9" t="s">
        <v>320</v>
      </c>
      <c r="F145" s="9" t="s">
        <v>327</v>
      </c>
      <c r="G145" s="9" t="n">
        <v>178.6</v>
      </c>
      <c r="H145" s="9" t="s">
        <v>322</v>
      </c>
      <c r="I145" s="9" t="n">
        <v>34</v>
      </c>
      <c r="J145" s="9" t="s">
        <v>36</v>
      </c>
      <c r="K145" s="9" t="s">
        <v>323</v>
      </c>
      <c r="L145" s="0" t="n">
        <v>1995</v>
      </c>
      <c r="M145" s="9" t="s">
        <v>38</v>
      </c>
      <c r="N145" s="11" t="n">
        <v>52.648198</v>
      </c>
      <c r="O145" s="11" t="n">
        <v>-106.51939</v>
      </c>
      <c r="P145" s="9" t="s">
        <v>97</v>
      </c>
      <c r="Q145" s="9" t="s">
        <v>98</v>
      </c>
      <c r="R145" s="9" t="s">
        <v>99</v>
      </c>
      <c r="S145" s="9" t="s">
        <v>324</v>
      </c>
      <c r="T145" s="9" t="s">
        <v>325</v>
      </c>
      <c r="U145" s="9" t="n">
        <v>52</v>
      </c>
      <c r="V145" s="9" t="n">
        <v>52</v>
      </c>
      <c r="W145" s="16" t="n">
        <f aca="false">1000/2.5</f>
        <v>400</v>
      </c>
      <c r="X145" s="9"/>
      <c r="Y145" s="16" t="n">
        <f aca="false">W145+X145</f>
        <v>400</v>
      </c>
      <c r="Z145" s="9"/>
      <c r="AA145" s="12" t="n">
        <v>0.26</v>
      </c>
      <c r="AB145" s="12"/>
      <c r="AC145" s="12" t="n">
        <f aca="false">I145/V145</f>
        <v>0.653846153846154</v>
      </c>
      <c r="AD145" s="12" t="n">
        <f aca="false">(I145/V145)*AA145</f>
        <v>0.17</v>
      </c>
    </row>
    <row r="146" customFormat="false" ht="13.8" hidden="false" customHeight="false" outlineLevel="0" collapsed="false">
      <c r="A146" s="9" t="n">
        <v>145</v>
      </c>
      <c r="B146" s="9" t="s">
        <v>30</v>
      </c>
      <c r="C146" s="9" t="s">
        <v>318</v>
      </c>
      <c r="D146" s="9" t="s">
        <v>328</v>
      </c>
      <c r="E146" s="9" t="s">
        <v>320</v>
      </c>
      <c r="F146" s="9" t="s">
        <v>329</v>
      </c>
      <c r="G146" s="9" t="n">
        <v>544.3</v>
      </c>
      <c r="H146" s="9" t="s">
        <v>322</v>
      </c>
      <c r="I146" s="9" t="n">
        <v>104</v>
      </c>
      <c r="J146" s="9" t="s">
        <v>36</v>
      </c>
      <c r="K146" s="9" t="s">
        <v>323</v>
      </c>
      <c r="L146" s="0" t="n">
        <v>1995</v>
      </c>
      <c r="M146" s="9" t="s">
        <v>38</v>
      </c>
      <c r="N146" s="11" t="n">
        <v>52.648198</v>
      </c>
      <c r="O146" s="11" t="n">
        <v>-106.51939</v>
      </c>
      <c r="P146" s="9" t="s">
        <v>97</v>
      </c>
      <c r="Q146" s="9" t="s">
        <v>98</v>
      </c>
      <c r="R146" s="9" t="s">
        <v>99</v>
      </c>
      <c r="S146" s="9" t="s">
        <v>324</v>
      </c>
      <c r="T146" s="9" t="s">
        <v>325</v>
      </c>
      <c r="U146" s="9" t="n">
        <v>33</v>
      </c>
      <c r="V146" s="9" t="n">
        <v>33</v>
      </c>
      <c r="W146" s="16" t="n">
        <f aca="false">1000/2.5</f>
        <v>400</v>
      </c>
      <c r="X146" s="9"/>
      <c r="Y146" s="16" t="n">
        <f aca="false">W146+X146</f>
        <v>400</v>
      </c>
      <c r="Z146" s="9"/>
      <c r="AA146" s="12" t="n">
        <v>0.26</v>
      </c>
      <c r="AB146" s="12"/>
      <c r="AC146" s="12" t="n">
        <f aca="false">I146/V146</f>
        <v>3.15151515151515</v>
      </c>
      <c r="AD146" s="12" t="n">
        <f aca="false">(I146/V146)*AA146</f>
        <v>0.819393939393939</v>
      </c>
    </row>
    <row r="147" customFormat="false" ht="13.8" hidden="false" customHeight="false" outlineLevel="0" collapsed="false">
      <c r="A147" s="9" t="n">
        <v>146</v>
      </c>
      <c r="B147" s="9" t="s">
        <v>30</v>
      </c>
      <c r="C147" s="9" t="s">
        <v>318</v>
      </c>
      <c r="D147" s="9" t="s">
        <v>330</v>
      </c>
      <c r="E147" s="9" t="s">
        <v>320</v>
      </c>
      <c r="F147" s="9" t="s">
        <v>331</v>
      </c>
      <c r="G147" s="9" t="n">
        <v>201.9</v>
      </c>
      <c r="H147" s="9" t="s">
        <v>322</v>
      </c>
      <c r="I147" s="9" t="n">
        <v>40</v>
      </c>
      <c r="J147" s="9" t="s">
        <v>36</v>
      </c>
      <c r="K147" s="9" t="s">
        <v>323</v>
      </c>
      <c r="L147" s="0" t="n">
        <v>1995</v>
      </c>
      <c r="M147" s="9" t="s">
        <v>38</v>
      </c>
      <c r="N147" s="11" t="n">
        <v>52.648198</v>
      </c>
      <c r="O147" s="11" t="n">
        <v>-106.51939</v>
      </c>
      <c r="P147" s="9" t="s">
        <v>97</v>
      </c>
      <c r="Q147" s="9" t="s">
        <v>98</v>
      </c>
      <c r="R147" s="9" t="s">
        <v>99</v>
      </c>
      <c r="S147" s="9" t="s">
        <v>324</v>
      </c>
      <c r="T147" s="9" t="s">
        <v>325</v>
      </c>
      <c r="U147" s="9" t="n">
        <v>37</v>
      </c>
      <c r="V147" s="9" t="n">
        <v>37</v>
      </c>
      <c r="W147" s="16" t="n">
        <f aca="false">1000/2.5</f>
        <v>400</v>
      </c>
      <c r="X147" s="9"/>
      <c r="Y147" s="16" t="n">
        <f aca="false">W147+X147</f>
        <v>400</v>
      </c>
      <c r="Z147" s="9"/>
      <c r="AA147" s="12" t="n">
        <v>0.26</v>
      </c>
      <c r="AB147" s="12"/>
      <c r="AC147" s="12" t="n">
        <f aca="false">I147/V147</f>
        <v>1.08108108108108</v>
      </c>
      <c r="AD147" s="12" t="n">
        <f aca="false">(I147/V147)*AA147</f>
        <v>0.281081081081081</v>
      </c>
    </row>
    <row r="148" customFormat="false" ht="13.8" hidden="false" customHeight="false" outlineLevel="0" collapsed="false">
      <c r="A148" s="9" t="n">
        <v>147</v>
      </c>
      <c r="B148" s="9" t="s">
        <v>30</v>
      </c>
      <c r="C148" s="9" t="s">
        <v>318</v>
      </c>
      <c r="D148" s="9" t="s">
        <v>332</v>
      </c>
      <c r="E148" s="9" t="s">
        <v>320</v>
      </c>
      <c r="F148" s="9" t="s">
        <v>333</v>
      </c>
      <c r="G148" s="9" t="n">
        <v>286.9</v>
      </c>
      <c r="H148" s="9" t="s">
        <v>322</v>
      </c>
      <c r="I148" s="9" t="n">
        <v>29</v>
      </c>
      <c r="J148" s="9" t="s">
        <v>36</v>
      </c>
      <c r="K148" s="9" t="s">
        <v>323</v>
      </c>
      <c r="L148" s="0" t="n">
        <v>1995</v>
      </c>
      <c r="M148" s="9" t="s">
        <v>38</v>
      </c>
      <c r="N148" s="11" t="n">
        <v>52.648198</v>
      </c>
      <c r="O148" s="11" t="n">
        <v>-106.51939</v>
      </c>
      <c r="P148" s="9" t="s">
        <v>97</v>
      </c>
      <c r="Q148" s="9" t="s">
        <v>98</v>
      </c>
      <c r="R148" s="9" t="s">
        <v>99</v>
      </c>
      <c r="S148" s="9" t="s">
        <v>324</v>
      </c>
      <c r="T148" s="9" t="s">
        <v>325</v>
      </c>
      <c r="U148" s="9" t="n">
        <v>54</v>
      </c>
      <c r="V148" s="9" t="n">
        <v>54</v>
      </c>
      <c r="W148" s="16" t="n">
        <f aca="false">1000/3.5</f>
        <v>285.714285714286</v>
      </c>
      <c r="X148" s="9"/>
      <c r="Y148" s="16" t="n">
        <f aca="false">W148+X148</f>
        <v>285.714285714286</v>
      </c>
      <c r="Z148" s="9"/>
      <c r="AA148" s="12" t="n">
        <v>0.26</v>
      </c>
      <c r="AB148" s="12"/>
      <c r="AC148" s="12" t="n">
        <f aca="false">I148/V148</f>
        <v>0.537037037037037</v>
      </c>
      <c r="AD148" s="12" t="n">
        <f aca="false">(I148/V148)*AA148</f>
        <v>0.13962962962963</v>
      </c>
    </row>
    <row r="149" customFormat="false" ht="13.8" hidden="false" customHeight="false" outlineLevel="0" collapsed="false">
      <c r="A149" s="9" t="n">
        <v>148</v>
      </c>
      <c r="B149" s="9" t="s">
        <v>30</v>
      </c>
      <c r="C149" s="9" t="s">
        <v>318</v>
      </c>
      <c r="D149" s="9" t="s">
        <v>334</v>
      </c>
      <c r="E149" s="9" t="s">
        <v>320</v>
      </c>
      <c r="F149" s="9" t="s">
        <v>335</v>
      </c>
      <c r="G149" s="9" t="n">
        <v>164.1</v>
      </c>
      <c r="H149" s="9" t="s">
        <v>322</v>
      </c>
      <c r="I149" s="9" t="n">
        <v>41</v>
      </c>
      <c r="J149" s="9" t="s">
        <v>36</v>
      </c>
      <c r="K149" s="9" t="s">
        <v>323</v>
      </c>
      <c r="L149" s="0" t="n">
        <v>1995</v>
      </c>
      <c r="M149" s="9" t="s">
        <v>38</v>
      </c>
      <c r="N149" s="11" t="n">
        <v>52.648198</v>
      </c>
      <c r="O149" s="11" t="n">
        <v>-106.51939</v>
      </c>
      <c r="P149" s="9" t="s">
        <v>97</v>
      </c>
      <c r="Q149" s="9" t="s">
        <v>98</v>
      </c>
      <c r="R149" s="9" t="s">
        <v>99</v>
      </c>
      <c r="S149" s="9" t="s">
        <v>324</v>
      </c>
      <c r="T149" s="9" t="s">
        <v>325</v>
      </c>
      <c r="U149" s="9" t="n">
        <v>66</v>
      </c>
      <c r="V149" s="9" t="n">
        <v>66</v>
      </c>
      <c r="W149" s="16" t="n">
        <f aca="false">1000/3.5</f>
        <v>285.714285714286</v>
      </c>
      <c r="X149" s="9"/>
      <c r="Y149" s="16" t="n">
        <f aca="false">W149+X149</f>
        <v>285.714285714286</v>
      </c>
      <c r="Z149" s="9"/>
      <c r="AA149" s="12" t="n">
        <v>0.26</v>
      </c>
      <c r="AB149" s="12"/>
      <c r="AC149" s="12" t="n">
        <f aca="false">I149/V149</f>
        <v>0.621212121212121</v>
      </c>
      <c r="AD149" s="12" t="n">
        <f aca="false">(I149/V149)*AA149</f>
        <v>0.161515151515152</v>
      </c>
    </row>
    <row r="150" customFormat="false" ht="13.8" hidden="false" customHeight="false" outlineLevel="0" collapsed="false">
      <c r="A150" s="9" t="n">
        <v>149</v>
      </c>
      <c r="B150" s="9" t="s">
        <v>30</v>
      </c>
      <c r="C150" s="9" t="s">
        <v>318</v>
      </c>
      <c r="D150" s="9" t="s">
        <v>336</v>
      </c>
      <c r="E150" s="9" t="s">
        <v>320</v>
      </c>
      <c r="F150" s="9" t="s">
        <v>337</v>
      </c>
      <c r="G150" s="9" t="n">
        <v>202.2</v>
      </c>
      <c r="H150" s="9" t="s">
        <v>322</v>
      </c>
      <c r="I150" s="9" t="n">
        <v>24</v>
      </c>
      <c r="J150" s="9" t="s">
        <v>36</v>
      </c>
      <c r="K150" s="9" t="s">
        <v>323</v>
      </c>
      <c r="L150" s="0" t="n">
        <v>1995</v>
      </c>
      <c r="M150" s="9" t="s">
        <v>38</v>
      </c>
      <c r="N150" s="11" t="n">
        <v>52.648198</v>
      </c>
      <c r="O150" s="11" t="n">
        <v>-106.51939</v>
      </c>
      <c r="P150" s="9" t="s">
        <v>97</v>
      </c>
      <c r="Q150" s="9" t="s">
        <v>98</v>
      </c>
      <c r="R150" s="9" t="s">
        <v>99</v>
      </c>
      <c r="S150" s="9" t="s">
        <v>324</v>
      </c>
      <c r="T150" s="9" t="s">
        <v>325</v>
      </c>
      <c r="U150" s="9" t="n">
        <v>43</v>
      </c>
      <c r="V150" s="9" t="n">
        <v>43</v>
      </c>
      <c r="W150" s="16" t="n">
        <f aca="false">1000/3.5</f>
        <v>285.714285714286</v>
      </c>
      <c r="X150" s="9"/>
      <c r="Y150" s="16" t="n">
        <f aca="false">W150+X150</f>
        <v>285.714285714286</v>
      </c>
      <c r="Z150" s="9"/>
      <c r="AA150" s="12" t="n">
        <v>0.26</v>
      </c>
      <c r="AB150" s="12"/>
      <c r="AC150" s="12" t="n">
        <f aca="false">I150/V150</f>
        <v>0.558139534883721</v>
      </c>
      <c r="AD150" s="12" t="n">
        <f aca="false">(I150/V150)*AA150</f>
        <v>0.145116279069767</v>
      </c>
    </row>
    <row r="151" customFormat="false" ht="13.8" hidden="false" customHeight="false" outlineLevel="0" collapsed="false">
      <c r="A151" s="9" t="n">
        <v>150</v>
      </c>
      <c r="B151" s="9" t="s">
        <v>30</v>
      </c>
      <c r="C151" s="9" t="s">
        <v>318</v>
      </c>
      <c r="D151" s="9" t="s">
        <v>338</v>
      </c>
      <c r="E151" s="9" t="s">
        <v>320</v>
      </c>
      <c r="F151" s="9" t="s">
        <v>339</v>
      </c>
      <c r="G151" s="9" t="n">
        <v>402.6</v>
      </c>
      <c r="H151" s="9" t="s">
        <v>322</v>
      </c>
      <c r="I151" s="9" t="n">
        <v>26</v>
      </c>
      <c r="J151" s="9" t="s">
        <v>36</v>
      </c>
      <c r="K151" s="9" t="s">
        <v>323</v>
      </c>
      <c r="L151" s="0" t="n">
        <v>1995</v>
      </c>
      <c r="M151" s="9" t="s">
        <v>38</v>
      </c>
      <c r="N151" s="11" t="n">
        <v>52.648198</v>
      </c>
      <c r="O151" s="11" t="n">
        <v>-106.51939</v>
      </c>
      <c r="P151" s="9" t="s">
        <v>97</v>
      </c>
      <c r="Q151" s="9" t="s">
        <v>98</v>
      </c>
      <c r="R151" s="9" t="s">
        <v>99</v>
      </c>
      <c r="S151" s="9" t="s">
        <v>324</v>
      </c>
      <c r="T151" s="9" t="s">
        <v>325</v>
      </c>
      <c r="U151" s="9" t="n">
        <v>33</v>
      </c>
      <c r="V151" s="9" t="n">
        <v>33</v>
      </c>
      <c r="W151" s="16" t="n">
        <f aca="false">1000/1</f>
        <v>1000</v>
      </c>
      <c r="X151" s="9"/>
      <c r="Y151" s="16" t="n">
        <f aca="false">W151+X151</f>
        <v>1000</v>
      </c>
      <c r="Z151" s="9"/>
      <c r="AA151" s="12" t="n">
        <v>0.26</v>
      </c>
      <c r="AB151" s="12"/>
      <c r="AC151" s="12" t="n">
        <f aca="false">I151/V151</f>
        <v>0.787878787878788</v>
      </c>
      <c r="AD151" s="12" t="n">
        <f aca="false">(I151/V151)*AA151</f>
        <v>0.204848484848485</v>
      </c>
    </row>
    <row r="152" customFormat="false" ht="13.8" hidden="false" customHeight="false" outlineLevel="0" collapsed="false">
      <c r="A152" s="9" t="n">
        <v>151</v>
      </c>
      <c r="B152" s="9" t="s">
        <v>30</v>
      </c>
      <c r="C152" s="9" t="s">
        <v>318</v>
      </c>
      <c r="D152" s="9" t="s">
        <v>340</v>
      </c>
      <c r="E152" s="9" t="s">
        <v>320</v>
      </c>
      <c r="F152" s="9" t="s">
        <v>341</v>
      </c>
      <c r="G152" s="9" t="n">
        <v>334.6</v>
      </c>
      <c r="H152" s="9" t="s">
        <v>322</v>
      </c>
      <c r="I152" s="9" t="n">
        <v>20</v>
      </c>
      <c r="J152" s="9" t="s">
        <v>36</v>
      </c>
      <c r="K152" s="9" t="s">
        <v>323</v>
      </c>
      <c r="L152" s="0" t="n">
        <v>1995</v>
      </c>
      <c r="M152" s="9" t="s">
        <v>38</v>
      </c>
      <c r="N152" s="11" t="n">
        <v>52.648198</v>
      </c>
      <c r="O152" s="11" t="n">
        <v>-106.51939</v>
      </c>
      <c r="P152" s="9" t="s">
        <v>97</v>
      </c>
      <c r="Q152" s="9" t="s">
        <v>98</v>
      </c>
      <c r="R152" s="9" t="s">
        <v>99</v>
      </c>
      <c r="S152" s="9" t="s">
        <v>324</v>
      </c>
      <c r="T152" s="9" t="s">
        <v>325</v>
      </c>
      <c r="U152" s="9" t="n">
        <v>23</v>
      </c>
      <c r="V152" s="9" t="n">
        <v>23</v>
      </c>
      <c r="W152" s="16" t="n">
        <f aca="false">1000/1</f>
        <v>1000</v>
      </c>
      <c r="X152" s="9"/>
      <c r="Y152" s="16" t="n">
        <f aca="false">W152+X152</f>
        <v>1000</v>
      </c>
      <c r="Z152" s="9"/>
      <c r="AA152" s="12" t="n">
        <v>0.26</v>
      </c>
      <c r="AB152" s="12"/>
      <c r="AC152" s="12" t="n">
        <f aca="false">I152/V152</f>
        <v>0.869565217391304</v>
      </c>
      <c r="AD152" s="12" t="n">
        <f aca="false">(I152/V152)*AA152</f>
        <v>0.226086956521739</v>
      </c>
    </row>
    <row r="153" customFormat="false" ht="13.8" hidden="false" customHeight="false" outlineLevel="0" collapsed="false">
      <c r="A153" s="9" t="n">
        <v>152</v>
      </c>
      <c r="B153" s="9" t="s">
        <v>30</v>
      </c>
      <c r="C153" s="9" t="s">
        <v>318</v>
      </c>
      <c r="D153" s="9" t="s">
        <v>342</v>
      </c>
      <c r="E153" s="9" t="s">
        <v>320</v>
      </c>
      <c r="F153" s="9" t="s">
        <v>343</v>
      </c>
      <c r="G153" s="9" t="n">
        <v>312</v>
      </c>
      <c r="H153" s="9" t="s">
        <v>322</v>
      </c>
      <c r="I153" s="9" t="n">
        <v>17</v>
      </c>
      <c r="J153" s="9" t="s">
        <v>36</v>
      </c>
      <c r="K153" s="9" t="s">
        <v>323</v>
      </c>
      <c r="L153" s="0" t="n">
        <v>1995</v>
      </c>
      <c r="M153" s="9" t="s">
        <v>38</v>
      </c>
      <c r="N153" s="11" t="n">
        <v>52.648198</v>
      </c>
      <c r="O153" s="11" t="n">
        <v>-106.51939</v>
      </c>
      <c r="P153" s="9" t="s">
        <v>97</v>
      </c>
      <c r="Q153" s="9" t="s">
        <v>98</v>
      </c>
      <c r="R153" s="9" t="s">
        <v>99</v>
      </c>
      <c r="S153" s="9" t="s">
        <v>324</v>
      </c>
      <c r="T153" s="9" t="s">
        <v>325</v>
      </c>
      <c r="U153" s="9" t="n">
        <v>20</v>
      </c>
      <c r="V153" s="9" t="n">
        <v>20</v>
      </c>
      <c r="W153" s="16" t="n">
        <f aca="false">1000/1</f>
        <v>1000</v>
      </c>
      <c r="X153" s="9"/>
      <c r="Y153" s="16" t="n">
        <f aca="false">W153+X153</f>
        <v>1000</v>
      </c>
      <c r="Z153" s="9"/>
      <c r="AA153" s="12" t="n">
        <v>0.26</v>
      </c>
      <c r="AB153" s="12"/>
      <c r="AC153" s="12" t="n">
        <f aca="false">I153/V153</f>
        <v>0.85</v>
      </c>
      <c r="AD153" s="12" t="n">
        <f aca="false">(I153/V153)*AA153</f>
        <v>0.221</v>
      </c>
    </row>
    <row r="154" customFormat="false" ht="13.8" hidden="false" customHeight="false" outlineLevel="0" collapsed="false">
      <c r="A154" s="9" t="n">
        <v>153</v>
      </c>
      <c r="B154" s="9" t="s">
        <v>30</v>
      </c>
      <c r="C154" s="9" t="s">
        <v>318</v>
      </c>
      <c r="D154" s="9" t="s">
        <v>344</v>
      </c>
      <c r="E154" s="9" t="s">
        <v>320</v>
      </c>
      <c r="F154" s="9" t="s">
        <v>345</v>
      </c>
      <c r="G154" s="9" t="n">
        <v>516</v>
      </c>
      <c r="H154" s="9" t="s">
        <v>322</v>
      </c>
      <c r="I154" s="9" t="n">
        <v>15</v>
      </c>
      <c r="J154" s="9" t="s">
        <v>36</v>
      </c>
      <c r="K154" s="9" t="s">
        <v>323</v>
      </c>
      <c r="L154" s="0" t="n">
        <v>1995</v>
      </c>
      <c r="M154" s="9" t="s">
        <v>38</v>
      </c>
      <c r="N154" s="11" t="n">
        <v>52.648198</v>
      </c>
      <c r="O154" s="11" t="n">
        <v>-106.51939</v>
      </c>
      <c r="P154" s="9" t="s">
        <v>97</v>
      </c>
      <c r="Q154" s="9" t="s">
        <v>98</v>
      </c>
      <c r="R154" s="9" t="s">
        <v>99</v>
      </c>
      <c r="S154" s="9" t="s">
        <v>324</v>
      </c>
      <c r="T154" s="9" t="s">
        <v>325</v>
      </c>
      <c r="U154" s="9" t="n">
        <v>49</v>
      </c>
      <c r="V154" s="9" t="n">
        <v>49</v>
      </c>
      <c r="W154" s="16" t="n">
        <f aca="false">1000/0.3</f>
        <v>3333.33333333333</v>
      </c>
      <c r="X154" s="9"/>
      <c r="Y154" s="16" t="n">
        <f aca="false">W154+X154</f>
        <v>3333.33333333333</v>
      </c>
      <c r="Z154" s="9"/>
      <c r="AA154" s="12" t="n">
        <v>0.26</v>
      </c>
      <c r="AB154" s="12"/>
      <c r="AC154" s="12" t="n">
        <f aca="false">I154/V154</f>
        <v>0.306122448979592</v>
      </c>
      <c r="AD154" s="12" t="n">
        <f aca="false">(I154/V154)*AA154</f>
        <v>0.0795918367346939</v>
      </c>
    </row>
    <row r="155" customFormat="false" ht="14.25" hidden="false" customHeight="true" outlineLevel="0" collapsed="false">
      <c r="A155" s="9" t="n">
        <v>154</v>
      </c>
      <c r="B155" s="9" t="s">
        <v>30</v>
      </c>
      <c r="C155" s="9" t="s">
        <v>318</v>
      </c>
      <c r="D155" s="9" t="s">
        <v>346</v>
      </c>
      <c r="E155" s="9" t="s">
        <v>320</v>
      </c>
      <c r="F155" s="9" t="s">
        <v>347</v>
      </c>
      <c r="G155" s="9" t="n">
        <v>213</v>
      </c>
      <c r="H155" s="9" t="s">
        <v>322</v>
      </c>
      <c r="I155" s="9" t="n">
        <v>11</v>
      </c>
      <c r="J155" s="9" t="s">
        <v>36</v>
      </c>
      <c r="K155" s="9" t="s">
        <v>323</v>
      </c>
      <c r="L155" s="0" t="n">
        <v>1995</v>
      </c>
      <c r="M155" s="9" t="s">
        <v>38</v>
      </c>
      <c r="N155" s="11" t="n">
        <v>52.648198</v>
      </c>
      <c r="O155" s="11" t="n">
        <v>-106.51939</v>
      </c>
      <c r="P155" s="9" t="s">
        <v>97</v>
      </c>
      <c r="Q155" s="9" t="s">
        <v>98</v>
      </c>
      <c r="R155" s="9" t="s">
        <v>99</v>
      </c>
      <c r="S155" s="9" t="s">
        <v>324</v>
      </c>
      <c r="T155" s="9" t="s">
        <v>325</v>
      </c>
      <c r="U155" s="9" t="n">
        <v>25</v>
      </c>
      <c r="V155" s="9" t="n">
        <v>25</v>
      </c>
      <c r="W155" s="16" t="n">
        <f aca="false">1000/1</f>
        <v>1000</v>
      </c>
      <c r="X155" s="9"/>
      <c r="Y155" s="16" t="n">
        <f aca="false">W155+X155</f>
        <v>1000</v>
      </c>
      <c r="Z155" s="9"/>
      <c r="AA155" s="12" t="n">
        <v>0.26</v>
      </c>
      <c r="AB155" s="12"/>
      <c r="AC155" s="12" t="n">
        <f aca="false">I155/V155</f>
        <v>0.44</v>
      </c>
      <c r="AD155" s="12" t="n">
        <f aca="false">(I155/V155)*AA155</f>
        <v>0.1144</v>
      </c>
    </row>
    <row r="156" customFormat="false" ht="13.8" hidden="false" customHeight="false" outlineLevel="0" collapsed="false">
      <c r="A156" s="9" t="n">
        <v>155</v>
      </c>
      <c r="B156" s="9" t="s">
        <v>30</v>
      </c>
      <c r="C156" s="9" t="s">
        <v>73</v>
      </c>
      <c r="D156" s="9" t="s">
        <v>348</v>
      </c>
      <c r="E156" s="9" t="s">
        <v>349</v>
      </c>
      <c r="F156" s="9"/>
      <c r="G156" s="9" t="n">
        <v>326.43</v>
      </c>
      <c r="H156" s="9" t="s">
        <v>230</v>
      </c>
      <c r="I156" s="9" t="n">
        <f aca="false">G156*0.47</f>
        <v>153.4221</v>
      </c>
      <c r="J156" s="9"/>
      <c r="K156" s="9" t="s">
        <v>350</v>
      </c>
      <c r="L156" s="0" t="n">
        <v>1994.5</v>
      </c>
      <c r="M156" s="9" t="s">
        <v>38</v>
      </c>
      <c r="N156" s="11" t="n">
        <v>11.35833</v>
      </c>
      <c r="O156" s="11" t="n">
        <v>76.36389</v>
      </c>
      <c r="P156" s="9" t="s">
        <v>39</v>
      </c>
      <c r="Q156" s="9" t="s">
        <v>40</v>
      </c>
      <c r="R156" s="9" t="s">
        <v>41</v>
      </c>
      <c r="S156" s="9" t="s">
        <v>192</v>
      </c>
      <c r="T156" s="9" t="s">
        <v>112</v>
      </c>
      <c r="U156" s="9" t="n">
        <v>8.8</v>
      </c>
      <c r="V156" s="9" t="n">
        <v>8.8</v>
      </c>
      <c r="W156" s="9" t="n">
        <v>1250</v>
      </c>
      <c r="X156" s="9"/>
      <c r="Y156" s="9" t="n">
        <f aca="false">W156+X156</f>
        <v>1250</v>
      </c>
      <c r="Z156" s="9"/>
      <c r="AA156" s="12" t="n">
        <f aca="false">AB156/I156</f>
        <v>0.0543148607664737</v>
      </c>
      <c r="AB156" s="12" t="n">
        <f aca="false">17.73*0.47</f>
        <v>8.3331</v>
      </c>
      <c r="AC156" s="12" t="n">
        <f aca="false">I156/V156</f>
        <v>17.4343295454545</v>
      </c>
      <c r="AD156" s="12" t="n">
        <f aca="false">AB156/V156</f>
        <v>0.946943181818182</v>
      </c>
    </row>
    <row r="157" customFormat="false" ht="13.8" hidden="false" customHeight="false" outlineLevel="0" collapsed="false">
      <c r="A157" s="9" t="n">
        <v>156</v>
      </c>
      <c r="B157" s="9" t="s">
        <v>30</v>
      </c>
      <c r="C157" s="9" t="s">
        <v>73</v>
      </c>
      <c r="D157" s="9" t="s">
        <v>351</v>
      </c>
      <c r="E157" s="9" t="s">
        <v>349</v>
      </c>
      <c r="F157" s="9"/>
      <c r="G157" s="9" t="n">
        <v>40.54</v>
      </c>
      <c r="H157" s="9" t="s">
        <v>230</v>
      </c>
      <c r="I157" s="9" t="n">
        <f aca="false">G157*0.47</f>
        <v>19.0538</v>
      </c>
      <c r="J157" s="9"/>
      <c r="K157" s="9" t="s">
        <v>350</v>
      </c>
      <c r="L157" s="0" t="n">
        <v>1994.5</v>
      </c>
      <c r="M157" s="9" t="s">
        <v>38</v>
      </c>
      <c r="N157" s="11" t="n">
        <v>11.35833</v>
      </c>
      <c r="O157" s="11" t="n">
        <v>76.36389</v>
      </c>
      <c r="P157" s="9" t="s">
        <v>39</v>
      </c>
      <c r="Q157" s="9" t="s">
        <v>40</v>
      </c>
      <c r="R157" s="9" t="s">
        <v>41</v>
      </c>
      <c r="S157" s="9" t="s">
        <v>192</v>
      </c>
      <c r="T157" s="9" t="s">
        <v>112</v>
      </c>
      <c r="U157" s="9" t="n">
        <v>8.8</v>
      </c>
      <c r="V157" s="9" t="n">
        <v>8.8</v>
      </c>
      <c r="W157" s="9" t="n">
        <v>1250</v>
      </c>
      <c r="X157" s="9"/>
      <c r="Y157" s="9" t="n">
        <f aca="false">W157+X157</f>
        <v>1250</v>
      </c>
      <c r="Z157" s="9"/>
      <c r="AA157" s="12" t="n">
        <f aca="false">AB157/I157</f>
        <v>0.182535767143562</v>
      </c>
      <c r="AB157" s="12" t="n">
        <f aca="false">7.4*0.47</f>
        <v>3.478</v>
      </c>
      <c r="AC157" s="12" t="n">
        <f aca="false">I157/V157</f>
        <v>2.16520454545455</v>
      </c>
      <c r="AD157" s="12" t="n">
        <f aca="false">AB157/V157</f>
        <v>0.395227272727273</v>
      </c>
    </row>
    <row r="158" customFormat="false" ht="13.8" hidden="false" customHeight="false" outlineLevel="0" collapsed="false">
      <c r="A158" s="9" t="n">
        <v>157</v>
      </c>
      <c r="B158" s="9" t="s">
        <v>30</v>
      </c>
      <c r="C158" s="9" t="s">
        <v>73</v>
      </c>
      <c r="D158" s="9" t="s">
        <v>352</v>
      </c>
      <c r="E158" s="9" t="s">
        <v>349</v>
      </c>
      <c r="F158" s="9"/>
      <c r="G158" s="9" t="n">
        <v>82.01</v>
      </c>
      <c r="H158" s="9" t="s">
        <v>230</v>
      </c>
      <c r="I158" s="9" t="n">
        <f aca="false">G158*0.47</f>
        <v>38.5447</v>
      </c>
      <c r="J158" s="9"/>
      <c r="K158" s="9" t="s">
        <v>350</v>
      </c>
      <c r="L158" s="0" t="n">
        <v>1994.5</v>
      </c>
      <c r="M158" s="9" t="s">
        <v>38</v>
      </c>
      <c r="N158" s="11" t="n">
        <v>11.35833</v>
      </c>
      <c r="O158" s="11" t="n">
        <v>76.36389</v>
      </c>
      <c r="P158" s="9" t="s">
        <v>39</v>
      </c>
      <c r="Q158" s="9" t="s">
        <v>40</v>
      </c>
      <c r="R158" s="9" t="s">
        <v>41</v>
      </c>
      <c r="S158" s="9" t="s">
        <v>192</v>
      </c>
      <c r="T158" s="9" t="s">
        <v>112</v>
      </c>
      <c r="U158" s="9" t="n">
        <v>8.8</v>
      </c>
      <c r="V158" s="9" t="n">
        <v>8.8</v>
      </c>
      <c r="W158" s="9" t="n">
        <v>1250</v>
      </c>
      <c r="X158" s="9"/>
      <c r="Y158" s="9" t="n">
        <f aca="false">W158+X158</f>
        <v>1250</v>
      </c>
      <c r="Z158" s="9"/>
      <c r="AA158" s="12" t="n">
        <f aca="false">AB158/I158</f>
        <v>0.123521521765638</v>
      </c>
      <c r="AB158" s="12" t="n">
        <f aca="false">10.13*0.47</f>
        <v>4.7611</v>
      </c>
      <c r="AC158" s="12" t="n">
        <f aca="false">I158/V158</f>
        <v>4.38007954545455</v>
      </c>
      <c r="AD158" s="12" t="n">
        <f aca="false">AB158/V158</f>
        <v>0.541034090909091</v>
      </c>
    </row>
    <row r="159" customFormat="false" ht="13.8" hidden="false" customHeight="false" outlineLevel="0" collapsed="false">
      <c r="A159" s="9" t="n">
        <v>158</v>
      </c>
      <c r="B159" s="9" t="s">
        <v>30</v>
      </c>
      <c r="C159" s="9" t="s">
        <v>73</v>
      </c>
      <c r="D159" s="9" t="s">
        <v>353</v>
      </c>
      <c r="E159" s="9" t="s">
        <v>349</v>
      </c>
      <c r="F159" s="9"/>
      <c r="G159" s="9" t="n">
        <v>58.93</v>
      </c>
      <c r="H159" s="9" t="s">
        <v>230</v>
      </c>
      <c r="I159" s="9" t="n">
        <f aca="false">G159*0.47</f>
        <v>27.6971</v>
      </c>
      <c r="J159" s="9"/>
      <c r="K159" s="9" t="s">
        <v>350</v>
      </c>
      <c r="L159" s="0" t="n">
        <v>1994.5</v>
      </c>
      <c r="M159" s="9" t="s">
        <v>38</v>
      </c>
      <c r="N159" s="11" t="n">
        <v>11.35833</v>
      </c>
      <c r="O159" s="11" t="n">
        <v>76.36389</v>
      </c>
      <c r="P159" s="9" t="s">
        <v>39</v>
      </c>
      <c r="Q159" s="9" t="s">
        <v>40</v>
      </c>
      <c r="R159" s="9" t="s">
        <v>41</v>
      </c>
      <c r="S159" s="9" t="s">
        <v>192</v>
      </c>
      <c r="T159" s="9" t="s">
        <v>112</v>
      </c>
      <c r="U159" s="9" t="n">
        <v>8.8</v>
      </c>
      <c r="V159" s="9" t="n">
        <v>8.8</v>
      </c>
      <c r="W159" s="9" t="n">
        <v>1250</v>
      </c>
      <c r="X159" s="9"/>
      <c r="Y159" s="9" t="n">
        <f aca="false">W159+X159</f>
        <v>1250</v>
      </c>
      <c r="Z159" s="9"/>
      <c r="AA159" s="12" t="n">
        <f aca="false">AB159/I159</f>
        <v>0.189207534362803</v>
      </c>
      <c r="AB159" s="12" t="n">
        <f aca="false">11.15*0.47</f>
        <v>5.2405</v>
      </c>
      <c r="AC159" s="12" t="n">
        <f aca="false">I159/V159</f>
        <v>3.14739772727273</v>
      </c>
      <c r="AD159" s="12" t="n">
        <f aca="false">AB159/V159</f>
        <v>0.595511363636364</v>
      </c>
    </row>
    <row r="160" customFormat="false" ht="13.8" hidden="false" customHeight="false" outlineLevel="0" collapsed="false">
      <c r="A160" s="9" t="n">
        <v>159</v>
      </c>
      <c r="B160" s="9" t="s">
        <v>30</v>
      </c>
      <c r="C160" s="9" t="s">
        <v>73</v>
      </c>
      <c r="D160" s="9" t="s">
        <v>354</v>
      </c>
      <c r="E160" s="9" t="s">
        <v>349</v>
      </c>
      <c r="F160" s="9"/>
      <c r="G160" s="9" t="n">
        <v>95.58</v>
      </c>
      <c r="H160" s="9" t="s">
        <v>230</v>
      </c>
      <c r="I160" s="9" t="n">
        <f aca="false">G160*0.47</f>
        <v>44.9226</v>
      </c>
      <c r="J160" s="9"/>
      <c r="K160" s="9" t="s">
        <v>350</v>
      </c>
      <c r="L160" s="0" t="n">
        <v>1994.5</v>
      </c>
      <c r="M160" s="9" t="s">
        <v>38</v>
      </c>
      <c r="N160" s="11" t="n">
        <v>11.35833</v>
      </c>
      <c r="O160" s="11" t="n">
        <v>76.36389</v>
      </c>
      <c r="P160" s="9" t="s">
        <v>39</v>
      </c>
      <c r="Q160" s="9" t="s">
        <v>40</v>
      </c>
      <c r="R160" s="9" t="s">
        <v>41</v>
      </c>
      <c r="S160" s="9" t="s">
        <v>192</v>
      </c>
      <c r="T160" s="9" t="s">
        <v>112</v>
      </c>
      <c r="U160" s="9" t="n">
        <v>8.8</v>
      </c>
      <c r="V160" s="9" t="n">
        <v>8.8</v>
      </c>
      <c r="W160" s="9" t="n">
        <v>1250</v>
      </c>
      <c r="X160" s="9"/>
      <c r="Y160" s="9" t="n">
        <f aca="false">W160+X160</f>
        <v>1250</v>
      </c>
      <c r="Z160" s="9"/>
      <c r="AA160" s="12" t="n">
        <f aca="false">AB160/I160</f>
        <v>0.0585896631094371</v>
      </c>
      <c r="AB160" s="12" t="n">
        <f aca="false">5.6*0.47</f>
        <v>2.632</v>
      </c>
      <c r="AC160" s="12" t="n">
        <f aca="false">I160/V160</f>
        <v>5.10484090909091</v>
      </c>
      <c r="AD160" s="12" t="n">
        <f aca="false">AB160/V160</f>
        <v>0.299090909090909</v>
      </c>
    </row>
    <row r="161" customFormat="false" ht="13.8" hidden="false" customHeight="false" outlineLevel="0" collapsed="false">
      <c r="A161" s="9" t="n">
        <v>160</v>
      </c>
      <c r="B161" s="9" t="s">
        <v>30</v>
      </c>
      <c r="C161" s="9" t="s">
        <v>73</v>
      </c>
      <c r="D161" s="9" t="s">
        <v>355</v>
      </c>
      <c r="E161" s="9" t="s">
        <v>349</v>
      </c>
      <c r="F161" s="9"/>
      <c r="G161" s="9" t="n">
        <v>68.86</v>
      </c>
      <c r="H161" s="9" t="s">
        <v>230</v>
      </c>
      <c r="I161" s="9" t="n">
        <f aca="false">G161*0.47</f>
        <v>32.3642</v>
      </c>
      <c r="J161" s="9"/>
      <c r="K161" s="9" t="s">
        <v>350</v>
      </c>
      <c r="L161" s="0" t="n">
        <v>1994.5</v>
      </c>
      <c r="M161" s="9" t="s">
        <v>38</v>
      </c>
      <c r="N161" s="11" t="n">
        <v>11.35833</v>
      </c>
      <c r="O161" s="11" t="n">
        <v>76.36389</v>
      </c>
      <c r="P161" s="9" t="s">
        <v>39</v>
      </c>
      <c r="Q161" s="9" t="s">
        <v>40</v>
      </c>
      <c r="R161" s="9" t="s">
        <v>41</v>
      </c>
      <c r="S161" s="9" t="s">
        <v>192</v>
      </c>
      <c r="T161" s="9" t="s">
        <v>112</v>
      </c>
      <c r="U161" s="9" t="n">
        <v>8.8</v>
      </c>
      <c r="V161" s="9" t="n">
        <v>8.8</v>
      </c>
      <c r="W161" s="9" t="n">
        <v>1250</v>
      </c>
      <c r="X161" s="9"/>
      <c r="Y161" s="9" t="n">
        <f aca="false">W161+X161</f>
        <v>1250</v>
      </c>
      <c r="Z161" s="9"/>
      <c r="AA161" s="12" t="n">
        <f aca="false">AB161/I161</f>
        <v>0.183415625907639</v>
      </c>
      <c r="AB161" s="12" t="n">
        <f aca="false">12.63*0.47</f>
        <v>5.9361</v>
      </c>
      <c r="AC161" s="12" t="n">
        <f aca="false">I161/V161</f>
        <v>3.67775</v>
      </c>
      <c r="AD161" s="12" t="n">
        <f aca="false">AB161/V161</f>
        <v>0.674556818181818</v>
      </c>
    </row>
    <row r="162" customFormat="false" ht="13.8" hidden="false" customHeight="false" outlineLevel="0" collapsed="false">
      <c r="A162" s="9" t="n">
        <v>161</v>
      </c>
      <c r="B162" s="9" t="s">
        <v>30</v>
      </c>
      <c r="C162" s="9" t="s">
        <v>73</v>
      </c>
      <c r="D162" s="9" t="s">
        <v>356</v>
      </c>
      <c r="E162" s="9" t="s">
        <v>349</v>
      </c>
      <c r="F162" s="9"/>
      <c r="G162" s="9" t="n">
        <v>22.81</v>
      </c>
      <c r="H162" s="9" t="s">
        <v>230</v>
      </c>
      <c r="I162" s="9" t="n">
        <f aca="false">G162*0.47</f>
        <v>10.7207</v>
      </c>
      <c r="J162" s="9"/>
      <c r="K162" s="9" t="s">
        <v>350</v>
      </c>
      <c r="L162" s="0" t="n">
        <v>1994.5</v>
      </c>
      <c r="M162" s="9" t="s">
        <v>38</v>
      </c>
      <c r="N162" s="11" t="n">
        <v>11.35833</v>
      </c>
      <c r="O162" s="11" t="n">
        <v>76.36389</v>
      </c>
      <c r="P162" s="9" t="s">
        <v>39</v>
      </c>
      <c r="Q162" s="9" t="s">
        <v>40</v>
      </c>
      <c r="R162" s="9" t="s">
        <v>41</v>
      </c>
      <c r="S162" s="9" t="s">
        <v>192</v>
      </c>
      <c r="T162" s="9" t="s">
        <v>112</v>
      </c>
      <c r="U162" s="9" t="n">
        <v>8.8</v>
      </c>
      <c r="V162" s="9" t="n">
        <v>8.8</v>
      </c>
      <c r="W162" s="9" t="n">
        <v>1250</v>
      </c>
      <c r="X162" s="9"/>
      <c r="Y162" s="9" t="n">
        <f aca="false">W162+X162</f>
        <v>1250</v>
      </c>
      <c r="Z162" s="9"/>
      <c r="AA162" s="12" t="n">
        <f aca="false">AB162/I162</f>
        <v>0.14160455940377</v>
      </c>
      <c r="AB162" s="12" t="n">
        <f aca="false">3.23*0.47</f>
        <v>1.5181</v>
      </c>
      <c r="AC162" s="12" t="n">
        <f aca="false">I162/V162</f>
        <v>1.21826136363636</v>
      </c>
      <c r="AD162" s="12" t="n">
        <f aca="false">AB162/V162</f>
        <v>0.172511363636364</v>
      </c>
    </row>
    <row r="163" customFormat="false" ht="13.8" hidden="false" customHeight="false" outlineLevel="0" collapsed="false">
      <c r="A163" s="9" t="n">
        <v>162</v>
      </c>
      <c r="B163" s="9" t="s">
        <v>30</v>
      </c>
      <c r="C163" s="9" t="s">
        <v>73</v>
      </c>
      <c r="D163" s="9" t="s">
        <v>357</v>
      </c>
      <c r="E163" s="9" t="s">
        <v>349</v>
      </c>
      <c r="F163" s="9"/>
      <c r="G163" s="9" t="n">
        <v>183.48</v>
      </c>
      <c r="H163" s="9" t="s">
        <v>230</v>
      </c>
      <c r="I163" s="9" t="n">
        <f aca="false">G163*0.47</f>
        <v>86.2356</v>
      </c>
      <c r="J163" s="9"/>
      <c r="K163" s="9" t="s">
        <v>350</v>
      </c>
      <c r="L163" s="0" t="n">
        <v>1994.5</v>
      </c>
      <c r="M163" s="9" t="s">
        <v>38</v>
      </c>
      <c r="N163" s="11" t="n">
        <v>11.35833</v>
      </c>
      <c r="O163" s="11" t="n">
        <v>76.36389</v>
      </c>
      <c r="P163" s="9" t="s">
        <v>39</v>
      </c>
      <c r="Q163" s="9" t="s">
        <v>40</v>
      </c>
      <c r="R163" s="9" t="s">
        <v>41</v>
      </c>
      <c r="S163" s="9" t="s">
        <v>192</v>
      </c>
      <c r="T163" s="9" t="s">
        <v>112</v>
      </c>
      <c r="U163" s="9" t="n">
        <v>8.8</v>
      </c>
      <c r="V163" s="9" t="n">
        <v>8.8</v>
      </c>
      <c r="W163" s="9" t="n">
        <v>1250</v>
      </c>
      <c r="X163" s="9"/>
      <c r="Y163" s="9" t="n">
        <f aca="false">W163+X163</f>
        <v>1250</v>
      </c>
      <c r="Z163" s="9"/>
      <c r="AA163" s="12" t="n">
        <f aca="false">AB163/I163</f>
        <v>0.0751035535208197</v>
      </c>
      <c r="AB163" s="12" t="n">
        <f aca="false">13.78*0.47</f>
        <v>6.4766</v>
      </c>
      <c r="AC163" s="12" t="n">
        <f aca="false">I163/V163</f>
        <v>9.7995</v>
      </c>
      <c r="AD163" s="12" t="n">
        <f aca="false">AB163/V163</f>
        <v>0.735977272727273</v>
      </c>
    </row>
    <row r="164" customFormat="false" ht="13.8" hidden="false" customHeight="false" outlineLevel="0" collapsed="false">
      <c r="A164" s="9" t="n">
        <v>163</v>
      </c>
      <c r="B164" s="9" t="s">
        <v>30</v>
      </c>
      <c r="C164" s="9" t="s">
        <v>73</v>
      </c>
      <c r="D164" s="9" t="s">
        <v>358</v>
      </c>
      <c r="E164" s="9" t="s">
        <v>349</v>
      </c>
      <c r="F164" s="9"/>
      <c r="G164" s="9" t="n">
        <v>66.11</v>
      </c>
      <c r="H164" s="9" t="s">
        <v>230</v>
      </c>
      <c r="I164" s="9" t="n">
        <f aca="false">G164*0.47</f>
        <v>31.0717</v>
      </c>
      <c r="J164" s="9"/>
      <c r="K164" s="9" t="s">
        <v>350</v>
      </c>
      <c r="L164" s="0" t="n">
        <v>1994.5</v>
      </c>
      <c r="M164" s="9" t="s">
        <v>38</v>
      </c>
      <c r="N164" s="11" t="n">
        <v>11.35833</v>
      </c>
      <c r="O164" s="11" t="n">
        <v>76.36389</v>
      </c>
      <c r="P164" s="9" t="s">
        <v>39</v>
      </c>
      <c r="Q164" s="9" t="s">
        <v>40</v>
      </c>
      <c r="R164" s="9" t="s">
        <v>41</v>
      </c>
      <c r="S164" s="9" t="s">
        <v>192</v>
      </c>
      <c r="T164" s="9" t="s">
        <v>112</v>
      </c>
      <c r="U164" s="9" t="n">
        <v>8.8</v>
      </c>
      <c r="V164" s="9" t="n">
        <v>8.8</v>
      </c>
      <c r="W164" s="9" t="n">
        <v>1250</v>
      </c>
      <c r="X164" s="9"/>
      <c r="Y164" s="9" t="n">
        <f aca="false">W164+X164</f>
        <v>1250</v>
      </c>
      <c r="Z164" s="9"/>
      <c r="AA164" s="12" t="n">
        <f aca="false">AB164/I164</f>
        <v>0.110422023899561</v>
      </c>
      <c r="AB164" s="12" t="n">
        <f aca="false">7.3*0.47</f>
        <v>3.431</v>
      </c>
      <c r="AC164" s="12" t="n">
        <f aca="false">I164/V164</f>
        <v>3.530875</v>
      </c>
      <c r="AD164" s="12" t="n">
        <f aca="false">AB164/V164</f>
        <v>0.389886363636364</v>
      </c>
    </row>
    <row r="165" customFormat="false" ht="13.8" hidden="false" customHeight="false" outlineLevel="0" collapsed="false">
      <c r="A165" s="9" t="n">
        <v>164</v>
      </c>
      <c r="B165" s="9" t="s">
        <v>30</v>
      </c>
      <c r="C165" s="9" t="s">
        <v>92</v>
      </c>
      <c r="D165" s="9" t="s">
        <v>359</v>
      </c>
      <c r="E165" s="9" t="s">
        <v>349</v>
      </c>
      <c r="F165" s="9"/>
      <c r="G165" s="9" t="n">
        <v>183.54</v>
      </c>
      <c r="H165" s="9" t="s">
        <v>230</v>
      </c>
      <c r="I165" s="9" t="n">
        <f aca="false">G165*0.47</f>
        <v>86.2638</v>
      </c>
      <c r="J165" s="9"/>
      <c r="K165" s="9" t="s">
        <v>350</v>
      </c>
      <c r="L165" s="0" t="n">
        <v>1994.5</v>
      </c>
      <c r="M165" s="9" t="s">
        <v>38</v>
      </c>
      <c r="N165" s="11" t="n">
        <v>11.35833</v>
      </c>
      <c r="O165" s="11" t="n">
        <v>76.36389</v>
      </c>
      <c r="P165" s="9" t="s">
        <v>39</v>
      </c>
      <c r="Q165" s="9" t="s">
        <v>40</v>
      </c>
      <c r="R165" s="9" t="s">
        <v>41</v>
      </c>
      <c r="S165" s="9" t="s">
        <v>192</v>
      </c>
      <c r="T165" s="9" t="s">
        <v>112</v>
      </c>
      <c r="U165" s="9" t="n">
        <v>7</v>
      </c>
      <c r="V165" s="9" t="n">
        <v>7</v>
      </c>
      <c r="W165" s="9" t="n">
        <f aca="false">(100/1)*(100/4)</f>
        <v>2500</v>
      </c>
      <c r="X165" s="9"/>
      <c r="Y165" s="9" t="n">
        <f aca="false">W165+X165</f>
        <v>2500</v>
      </c>
      <c r="Z165" s="9"/>
      <c r="AA165" s="12" t="n">
        <v>0.24</v>
      </c>
      <c r="AB165" s="12"/>
      <c r="AC165" s="12" t="n">
        <f aca="false">I165/V165</f>
        <v>12.3234</v>
      </c>
      <c r="AD165" s="12" t="n">
        <f aca="false">(I165/V165)*AA165</f>
        <v>2.957616</v>
      </c>
    </row>
    <row r="166" customFormat="false" ht="13.8" hidden="false" customHeight="false" outlineLevel="0" collapsed="false">
      <c r="A166" s="9" t="n">
        <v>165</v>
      </c>
      <c r="B166" s="9" t="s">
        <v>30</v>
      </c>
      <c r="C166" s="9" t="s">
        <v>92</v>
      </c>
      <c r="D166" s="9" t="s">
        <v>360</v>
      </c>
      <c r="E166" s="9" t="s">
        <v>349</v>
      </c>
      <c r="F166" s="9"/>
      <c r="G166" s="9" t="n">
        <v>19.38</v>
      </c>
      <c r="H166" s="9" t="s">
        <v>230</v>
      </c>
      <c r="I166" s="9" t="n">
        <f aca="false">G166*0.47</f>
        <v>9.1086</v>
      </c>
      <c r="J166" s="9"/>
      <c r="K166" s="9" t="s">
        <v>350</v>
      </c>
      <c r="L166" s="0" t="n">
        <v>1994.5</v>
      </c>
      <c r="M166" s="9" t="s">
        <v>38</v>
      </c>
      <c r="N166" s="11" t="n">
        <v>11.35833</v>
      </c>
      <c r="O166" s="11" t="n">
        <v>76.36389</v>
      </c>
      <c r="P166" s="9" t="s">
        <v>39</v>
      </c>
      <c r="Q166" s="9" t="s">
        <v>40</v>
      </c>
      <c r="R166" s="9" t="s">
        <v>41</v>
      </c>
      <c r="S166" s="9" t="s">
        <v>192</v>
      </c>
      <c r="T166" s="9" t="s">
        <v>112</v>
      </c>
      <c r="U166" s="9" t="n">
        <v>7</v>
      </c>
      <c r="V166" s="9" t="n">
        <v>7</v>
      </c>
      <c r="W166" s="9" t="n">
        <f aca="false">(100/1)*(100/4)</f>
        <v>2500</v>
      </c>
      <c r="X166" s="9"/>
      <c r="Y166" s="9" t="n">
        <f aca="false">W166+X166</f>
        <v>2500</v>
      </c>
      <c r="Z166" s="9"/>
      <c r="AA166" s="12" t="n">
        <v>0.24</v>
      </c>
      <c r="AB166" s="12"/>
      <c r="AC166" s="12" t="n">
        <f aca="false">I166/V166</f>
        <v>1.30122857142857</v>
      </c>
      <c r="AD166" s="12" t="n">
        <f aca="false">(I166/V166)*AA166</f>
        <v>0.312294857142857</v>
      </c>
    </row>
    <row r="167" customFormat="false" ht="13.8" hidden="false" customHeight="false" outlineLevel="0" collapsed="false">
      <c r="A167" s="9" t="n">
        <v>166</v>
      </c>
      <c r="B167" s="9" t="s">
        <v>30</v>
      </c>
      <c r="C167" s="9" t="s">
        <v>92</v>
      </c>
      <c r="D167" s="9" t="s">
        <v>361</v>
      </c>
      <c r="E167" s="9" t="s">
        <v>349</v>
      </c>
      <c r="F167" s="9"/>
      <c r="G167" s="9" t="n">
        <v>33.68</v>
      </c>
      <c r="H167" s="9" t="s">
        <v>230</v>
      </c>
      <c r="I167" s="9" t="n">
        <f aca="false">G167*0.47</f>
        <v>15.8296</v>
      </c>
      <c r="J167" s="9"/>
      <c r="K167" s="9" t="s">
        <v>350</v>
      </c>
      <c r="L167" s="0" t="n">
        <v>1994.5</v>
      </c>
      <c r="M167" s="9" t="s">
        <v>38</v>
      </c>
      <c r="N167" s="11" t="n">
        <v>11.35833</v>
      </c>
      <c r="O167" s="11" t="n">
        <v>76.36389</v>
      </c>
      <c r="P167" s="9" t="s">
        <v>39</v>
      </c>
      <c r="Q167" s="9" t="s">
        <v>40</v>
      </c>
      <c r="R167" s="9" t="s">
        <v>41</v>
      </c>
      <c r="S167" s="9" t="s">
        <v>192</v>
      </c>
      <c r="T167" s="9" t="s">
        <v>112</v>
      </c>
      <c r="U167" s="9" t="n">
        <v>7</v>
      </c>
      <c r="V167" s="9" t="n">
        <v>7</v>
      </c>
      <c r="W167" s="9" t="n">
        <f aca="false">(100/1)*(100/4)</f>
        <v>2500</v>
      </c>
      <c r="X167" s="9"/>
      <c r="Y167" s="9" t="n">
        <f aca="false">W167+X167</f>
        <v>2500</v>
      </c>
      <c r="Z167" s="9"/>
      <c r="AA167" s="12" t="n">
        <v>0.24</v>
      </c>
      <c r="AB167" s="12"/>
      <c r="AC167" s="12" t="n">
        <f aca="false">I167/V167</f>
        <v>2.26137142857143</v>
      </c>
      <c r="AD167" s="12" t="n">
        <f aca="false">(I167/V167)*AA167</f>
        <v>0.542729142857143</v>
      </c>
    </row>
    <row r="168" customFormat="false" ht="13.8" hidden="false" customHeight="false" outlineLevel="0" collapsed="false">
      <c r="A168" s="9" t="n">
        <v>167</v>
      </c>
      <c r="B168" s="9" t="s">
        <v>30</v>
      </c>
      <c r="C168" s="9" t="s">
        <v>92</v>
      </c>
      <c r="D168" s="9" t="s">
        <v>362</v>
      </c>
      <c r="E168" s="9" t="s">
        <v>349</v>
      </c>
      <c r="F168" s="9"/>
      <c r="G168" s="9" t="n">
        <v>63.51</v>
      </c>
      <c r="H168" s="9" t="s">
        <v>230</v>
      </c>
      <c r="I168" s="9" t="n">
        <f aca="false">G168*0.47</f>
        <v>29.8497</v>
      </c>
      <c r="J168" s="9"/>
      <c r="K168" s="9" t="s">
        <v>350</v>
      </c>
      <c r="L168" s="0" t="n">
        <v>1994.5</v>
      </c>
      <c r="M168" s="9" t="s">
        <v>38</v>
      </c>
      <c r="N168" s="11" t="n">
        <v>11.35833</v>
      </c>
      <c r="O168" s="11" t="n">
        <v>76.36389</v>
      </c>
      <c r="P168" s="9" t="s">
        <v>39</v>
      </c>
      <c r="Q168" s="9" t="s">
        <v>40</v>
      </c>
      <c r="R168" s="9" t="s">
        <v>41</v>
      </c>
      <c r="S168" s="9" t="s">
        <v>192</v>
      </c>
      <c r="T168" s="9" t="s">
        <v>112</v>
      </c>
      <c r="U168" s="9" t="n">
        <v>7</v>
      </c>
      <c r="V168" s="9" t="n">
        <v>7</v>
      </c>
      <c r="W168" s="9" t="n">
        <f aca="false">(100/1)*(100/4)</f>
        <v>2500</v>
      </c>
      <c r="X168" s="9"/>
      <c r="Y168" s="9" t="n">
        <f aca="false">W168+X168</f>
        <v>2500</v>
      </c>
      <c r="Z168" s="9"/>
      <c r="AA168" s="12" t="n">
        <v>0.24</v>
      </c>
      <c r="AB168" s="12"/>
      <c r="AC168" s="12" t="n">
        <f aca="false">I168/V168</f>
        <v>4.26424285714286</v>
      </c>
      <c r="AD168" s="12" t="n">
        <f aca="false">(I168/V168)*AA168</f>
        <v>1.02341828571429</v>
      </c>
    </row>
    <row r="169" customFormat="false" ht="13.8" hidden="false" customHeight="false" outlineLevel="0" collapsed="false">
      <c r="A169" s="9" t="n">
        <v>168</v>
      </c>
      <c r="B169" s="9" t="s">
        <v>30</v>
      </c>
      <c r="C169" s="9" t="s">
        <v>92</v>
      </c>
      <c r="D169" s="9" t="s">
        <v>363</v>
      </c>
      <c r="E169" s="9" t="s">
        <v>349</v>
      </c>
      <c r="F169" s="9"/>
      <c r="G169" s="9" t="n">
        <v>140.5</v>
      </c>
      <c r="H169" s="9" t="s">
        <v>230</v>
      </c>
      <c r="I169" s="9" t="n">
        <f aca="false">G169*0.47</f>
        <v>66.035</v>
      </c>
      <c r="J169" s="9"/>
      <c r="K169" s="9" t="s">
        <v>350</v>
      </c>
      <c r="L169" s="0" t="n">
        <v>1994.5</v>
      </c>
      <c r="M169" s="9" t="s">
        <v>38</v>
      </c>
      <c r="N169" s="11" t="n">
        <v>11.35833</v>
      </c>
      <c r="O169" s="11" t="n">
        <v>76.36389</v>
      </c>
      <c r="P169" s="9" t="s">
        <v>39</v>
      </c>
      <c r="Q169" s="9" t="s">
        <v>40</v>
      </c>
      <c r="R169" s="9" t="s">
        <v>41</v>
      </c>
      <c r="S169" s="9" t="s">
        <v>192</v>
      </c>
      <c r="T169" s="9" t="s">
        <v>112</v>
      </c>
      <c r="U169" s="9" t="n">
        <v>5</v>
      </c>
      <c r="V169" s="9" t="n">
        <v>5</v>
      </c>
      <c r="W169" s="9" t="n">
        <f aca="false">(100/1)*(100/4)</f>
        <v>2500</v>
      </c>
      <c r="X169" s="9"/>
      <c r="Y169" s="9" t="n">
        <f aca="false">W169+X169</f>
        <v>2500</v>
      </c>
      <c r="Z169" s="9"/>
      <c r="AA169" s="12" t="n">
        <f aca="false">AB169/I169</f>
        <v>0.246838797607329</v>
      </c>
      <c r="AB169" s="12" t="n">
        <v>16.3</v>
      </c>
      <c r="AC169" s="12" t="n">
        <f aca="false">I169/V169</f>
        <v>13.207</v>
      </c>
      <c r="AD169" s="12" t="n">
        <f aca="false">(I169/V169)*AA169</f>
        <v>3.26</v>
      </c>
    </row>
    <row r="170" customFormat="false" ht="13.8" hidden="false" customHeight="false" outlineLevel="0" collapsed="false">
      <c r="A170" s="9" t="n">
        <v>169</v>
      </c>
      <c r="B170" s="9" t="s">
        <v>30</v>
      </c>
      <c r="C170" s="9" t="s">
        <v>92</v>
      </c>
      <c r="D170" s="9" t="s">
        <v>364</v>
      </c>
      <c r="E170" s="9" t="s">
        <v>349</v>
      </c>
      <c r="F170" s="9"/>
      <c r="G170" s="9" t="n">
        <v>19.8</v>
      </c>
      <c r="H170" s="9" t="s">
        <v>230</v>
      </c>
      <c r="I170" s="9" t="n">
        <f aca="false">G170*0.47</f>
        <v>9.306</v>
      </c>
      <c r="J170" s="9"/>
      <c r="K170" s="9" t="s">
        <v>350</v>
      </c>
      <c r="L170" s="0" t="n">
        <v>1994.5</v>
      </c>
      <c r="M170" s="9" t="s">
        <v>38</v>
      </c>
      <c r="N170" s="11" t="n">
        <v>11.35833</v>
      </c>
      <c r="O170" s="11" t="n">
        <v>76.36389</v>
      </c>
      <c r="P170" s="9" t="s">
        <v>39</v>
      </c>
      <c r="Q170" s="9" t="s">
        <v>40</v>
      </c>
      <c r="R170" s="9" t="s">
        <v>41</v>
      </c>
      <c r="S170" s="9" t="s">
        <v>192</v>
      </c>
      <c r="T170" s="9" t="s">
        <v>112</v>
      </c>
      <c r="U170" s="9" t="n">
        <v>5</v>
      </c>
      <c r="V170" s="9" t="n">
        <v>5</v>
      </c>
      <c r="W170" s="9" t="n">
        <f aca="false">(100/1)*(100/4)</f>
        <v>2500</v>
      </c>
      <c r="X170" s="9"/>
      <c r="Y170" s="9" t="n">
        <f aca="false">W170+X170</f>
        <v>2500</v>
      </c>
      <c r="Z170" s="9"/>
      <c r="AA170" s="12" t="n">
        <f aca="false">AB170/I170</f>
        <v>0.451321727917473</v>
      </c>
      <c r="AB170" s="12" t="n">
        <v>4.2</v>
      </c>
      <c r="AC170" s="12" t="n">
        <f aca="false">I170/V170</f>
        <v>1.8612</v>
      </c>
      <c r="AD170" s="12" t="n">
        <f aca="false">(I170/V170)*AA170</f>
        <v>0.84</v>
      </c>
    </row>
    <row r="171" customFormat="false" ht="13.8" hidden="false" customHeight="false" outlineLevel="0" collapsed="false">
      <c r="A171" s="9" t="n">
        <v>170</v>
      </c>
      <c r="B171" s="9" t="s">
        <v>30</v>
      </c>
      <c r="C171" s="9" t="s">
        <v>92</v>
      </c>
      <c r="D171" s="9" t="s">
        <v>365</v>
      </c>
      <c r="E171" s="9" t="s">
        <v>349</v>
      </c>
      <c r="F171" s="9"/>
      <c r="G171" s="9" t="n">
        <v>35.9</v>
      </c>
      <c r="H171" s="9" t="s">
        <v>230</v>
      </c>
      <c r="I171" s="9" t="n">
        <f aca="false">G171*0.47</f>
        <v>16.873</v>
      </c>
      <c r="J171" s="9"/>
      <c r="K171" s="9" t="s">
        <v>350</v>
      </c>
      <c r="L171" s="0" t="n">
        <v>1994.5</v>
      </c>
      <c r="M171" s="9" t="s">
        <v>38</v>
      </c>
      <c r="N171" s="11" t="n">
        <v>11.35833</v>
      </c>
      <c r="O171" s="11" t="n">
        <v>76.36389</v>
      </c>
      <c r="P171" s="9" t="s">
        <v>39</v>
      </c>
      <c r="Q171" s="9" t="s">
        <v>40</v>
      </c>
      <c r="R171" s="9" t="s">
        <v>41</v>
      </c>
      <c r="S171" s="9" t="s">
        <v>192</v>
      </c>
      <c r="T171" s="9" t="s">
        <v>112</v>
      </c>
      <c r="U171" s="9" t="n">
        <v>5</v>
      </c>
      <c r="V171" s="9" t="n">
        <v>5</v>
      </c>
      <c r="W171" s="9" t="n">
        <f aca="false">(100/1)*(100/4)</f>
        <v>2500</v>
      </c>
      <c r="X171" s="9"/>
      <c r="Y171" s="9" t="n">
        <f aca="false">W171+X171</f>
        <v>2500</v>
      </c>
      <c r="Z171" s="9"/>
      <c r="AA171" s="12" t="n">
        <f aca="false">AB171/I171</f>
        <v>0.201505363598649</v>
      </c>
      <c r="AB171" s="12" t="n">
        <v>3.4</v>
      </c>
      <c r="AC171" s="12" t="n">
        <f aca="false">I171/V171</f>
        <v>3.3746</v>
      </c>
      <c r="AD171" s="12" t="n">
        <f aca="false">(I171/V171)*AA171</f>
        <v>0.68</v>
      </c>
    </row>
    <row r="172" customFormat="false" ht="13.8" hidden="false" customHeight="false" outlineLevel="0" collapsed="false">
      <c r="A172" s="9" t="n">
        <v>171</v>
      </c>
      <c r="B172" s="9" t="s">
        <v>30</v>
      </c>
      <c r="C172" s="9" t="s">
        <v>92</v>
      </c>
      <c r="D172" s="9" t="s">
        <v>366</v>
      </c>
      <c r="E172" s="9" t="s">
        <v>349</v>
      </c>
      <c r="F172" s="9"/>
      <c r="G172" s="9" t="n">
        <v>65.8</v>
      </c>
      <c r="H172" s="9" t="s">
        <v>230</v>
      </c>
      <c r="I172" s="9" t="n">
        <f aca="false">G172*0.47</f>
        <v>30.926</v>
      </c>
      <c r="J172" s="9"/>
      <c r="K172" s="9" t="s">
        <v>350</v>
      </c>
      <c r="L172" s="0" t="n">
        <v>1994.5</v>
      </c>
      <c r="M172" s="9" t="s">
        <v>38</v>
      </c>
      <c r="N172" s="11" t="n">
        <v>11.35833</v>
      </c>
      <c r="O172" s="11" t="n">
        <v>76.36389</v>
      </c>
      <c r="P172" s="9" t="s">
        <v>39</v>
      </c>
      <c r="Q172" s="9" t="s">
        <v>40</v>
      </c>
      <c r="R172" s="9" t="s">
        <v>41</v>
      </c>
      <c r="S172" s="9" t="s">
        <v>192</v>
      </c>
      <c r="T172" s="9" t="s">
        <v>112</v>
      </c>
      <c r="U172" s="9" t="n">
        <v>5</v>
      </c>
      <c r="V172" s="9" t="n">
        <v>5</v>
      </c>
      <c r="W172" s="9" t="n">
        <f aca="false">(100/1)*(100/4)</f>
        <v>2500</v>
      </c>
      <c r="X172" s="9"/>
      <c r="Y172" s="9" t="n">
        <f aca="false">W172+X172</f>
        <v>2500</v>
      </c>
      <c r="Z172" s="9"/>
      <c r="AA172" s="12" t="n">
        <f aca="false">AB172/I172</f>
        <v>0.388023022699347</v>
      </c>
      <c r="AB172" s="12" t="n">
        <v>12</v>
      </c>
      <c r="AC172" s="12" t="n">
        <f aca="false">I172/V172</f>
        <v>6.1852</v>
      </c>
      <c r="AD172" s="12" t="n">
        <f aca="false">(I172/V172)*AA172</f>
        <v>2.4</v>
      </c>
    </row>
    <row r="173" customFormat="false" ht="13.8" hidden="false" customHeight="false" outlineLevel="0" collapsed="false">
      <c r="A173" s="9" t="n">
        <v>172</v>
      </c>
      <c r="B173" s="9" t="s">
        <v>30</v>
      </c>
      <c r="C173" s="9" t="s">
        <v>73</v>
      </c>
      <c r="D173" s="9" t="s">
        <v>234</v>
      </c>
      <c r="E173" s="9" t="s">
        <v>367</v>
      </c>
      <c r="F173" s="9" t="s">
        <v>368</v>
      </c>
      <c r="G173" s="9" t="n">
        <v>31.8</v>
      </c>
      <c r="H173" s="9" t="s">
        <v>36</v>
      </c>
      <c r="I173" s="9"/>
      <c r="J173" s="9"/>
      <c r="K173" s="9" t="s">
        <v>369</v>
      </c>
      <c r="L173" s="0" t="n">
        <v>1998</v>
      </c>
      <c r="M173" s="9" t="s">
        <v>38</v>
      </c>
      <c r="N173" s="11" t="n">
        <v>10.2</v>
      </c>
      <c r="O173" s="11" t="n">
        <v>123.75</v>
      </c>
      <c r="P173" s="9" t="s">
        <v>39</v>
      </c>
      <c r="Q173" s="9" t="s">
        <v>53</v>
      </c>
      <c r="R173" s="9" t="s">
        <v>41</v>
      </c>
      <c r="S173" s="9" t="s">
        <v>111</v>
      </c>
      <c r="T173" s="9" t="s">
        <v>112</v>
      </c>
      <c r="U173" s="9" t="n">
        <v>6</v>
      </c>
      <c r="V173" s="9" t="n">
        <v>6</v>
      </c>
      <c r="W173" s="9"/>
      <c r="X173" s="9"/>
      <c r="Y173" s="9"/>
      <c r="Z173" s="9"/>
      <c r="AA173" s="12" t="n">
        <v>0.24</v>
      </c>
      <c r="AB173" s="12"/>
      <c r="AC173" s="12" t="n">
        <f aca="false">G173/V173</f>
        <v>5.3</v>
      </c>
      <c r="AD173" s="12" t="n">
        <f aca="false">(G173/V173)*AA173</f>
        <v>1.272</v>
      </c>
    </row>
    <row r="174" customFormat="false" ht="13.8" hidden="false" customHeight="false" outlineLevel="0" collapsed="false">
      <c r="A174" s="9" t="n">
        <v>173</v>
      </c>
      <c r="B174" s="9" t="s">
        <v>30</v>
      </c>
      <c r="C174" s="9" t="s">
        <v>47</v>
      </c>
      <c r="D174" s="9" t="s">
        <v>370</v>
      </c>
      <c r="E174" s="9" t="s">
        <v>371</v>
      </c>
      <c r="F174" s="9" t="s">
        <v>372</v>
      </c>
      <c r="G174" s="12" t="n">
        <v>10.4580152671755</v>
      </c>
      <c r="H174" s="9" t="s">
        <v>230</v>
      </c>
      <c r="I174" s="12" t="n">
        <f aca="false">G174*0.47</f>
        <v>4.91526717557248</v>
      </c>
      <c r="J174" s="9"/>
      <c r="K174" s="9" t="s">
        <v>373</v>
      </c>
      <c r="L174" s="0" t="n">
        <v>1996</v>
      </c>
      <c r="M174" s="9" t="s">
        <v>38</v>
      </c>
      <c r="N174" s="11" t="n">
        <v>30.45</v>
      </c>
      <c r="O174" s="11" t="s">
        <v>374</v>
      </c>
      <c r="P174" s="9" t="s">
        <v>39</v>
      </c>
      <c r="Q174" s="9" t="s">
        <v>53</v>
      </c>
      <c r="R174" s="9" t="s">
        <v>41</v>
      </c>
      <c r="S174" s="9" t="s">
        <v>192</v>
      </c>
      <c r="T174" s="9" t="s">
        <v>112</v>
      </c>
      <c r="U174" s="9" t="n">
        <v>5</v>
      </c>
      <c r="V174" s="9" t="n">
        <v>5</v>
      </c>
      <c r="W174" s="9" t="n">
        <v>1111</v>
      </c>
      <c r="X174" s="9"/>
      <c r="Y174" s="9" t="n">
        <f aca="false">W174+X174</f>
        <v>1111</v>
      </c>
      <c r="Z174" s="9"/>
      <c r="AA174" s="12" t="n">
        <v>0.24</v>
      </c>
      <c r="AB174" s="12"/>
      <c r="AC174" s="12" t="n">
        <f aca="false">I174/V174</f>
        <v>0.983053435114497</v>
      </c>
      <c r="AD174" s="12" t="n">
        <v>0.177096774193548</v>
      </c>
    </row>
    <row r="175" customFormat="false" ht="13.8" hidden="false" customHeight="false" outlineLevel="0" collapsed="false">
      <c r="A175" s="9" t="n">
        <v>174</v>
      </c>
      <c r="B175" s="9" t="s">
        <v>30</v>
      </c>
      <c r="C175" s="9" t="s">
        <v>47</v>
      </c>
      <c r="D175" s="9" t="s">
        <v>375</v>
      </c>
      <c r="E175" s="9" t="s">
        <v>371</v>
      </c>
      <c r="F175" s="9" t="s">
        <v>372</v>
      </c>
      <c r="G175" s="12" t="n">
        <v>49.0839694656488</v>
      </c>
      <c r="H175" s="9" t="s">
        <v>230</v>
      </c>
      <c r="I175" s="12" t="n">
        <f aca="false">G175*0.47</f>
        <v>23.0694656488549</v>
      </c>
      <c r="J175" s="9"/>
      <c r="K175" s="9" t="s">
        <v>373</v>
      </c>
      <c r="L175" s="0" t="n">
        <v>1996</v>
      </c>
      <c r="M175" s="9" t="s">
        <v>38</v>
      </c>
      <c r="N175" s="11" t="n">
        <v>30.45</v>
      </c>
      <c r="O175" s="11" t="s">
        <v>374</v>
      </c>
      <c r="P175" s="9" t="s">
        <v>39</v>
      </c>
      <c r="Q175" s="9" t="s">
        <v>53</v>
      </c>
      <c r="R175" s="9" t="s">
        <v>41</v>
      </c>
      <c r="S175" s="9" t="s">
        <v>192</v>
      </c>
      <c r="T175" s="9" t="s">
        <v>112</v>
      </c>
      <c r="U175" s="9" t="n">
        <v>5</v>
      </c>
      <c r="V175" s="9" t="n">
        <v>5</v>
      </c>
      <c r="W175" s="9" t="n">
        <v>1111</v>
      </c>
      <c r="X175" s="9"/>
      <c r="Y175" s="9" t="n">
        <f aca="false">W175+X175</f>
        <v>1111</v>
      </c>
      <c r="Z175" s="9"/>
      <c r="AA175" s="12" t="n">
        <v>0.24</v>
      </c>
      <c r="AB175" s="12"/>
      <c r="AC175" s="12" t="n">
        <f aca="false">I175/V175</f>
        <v>4.61389312977099</v>
      </c>
      <c r="AD175" s="12" t="n">
        <f aca="false">(I174/V174)*AA174</f>
        <v>0.235932824427479</v>
      </c>
    </row>
    <row r="176" customFormat="false" ht="13.8" hidden="false" customHeight="false" outlineLevel="0" collapsed="false">
      <c r="A176" s="9" t="n">
        <v>175</v>
      </c>
      <c r="B176" s="9" t="s">
        <v>30</v>
      </c>
      <c r="C176" s="9" t="s">
        <v>47</v>
      </c>
      <c r="D176" s="9" t="s">
        <v>376</v>
      </c>
      <c r="E176" s="9" t="s">
        <v>371</v>
      </c>
      <c r="F176" s="9" t="s">
        <v>372</v>
      </c>
      <c r="G176" s="12" t="n">
        <v>12.2137404580152</v>
      </c>
      <c r="H176" s="9" t="s">
        <v>230</v>
      </c>
      <c r="I176" s="12" t="n">
        <f aca="false">G176*0.47</f>
        <v>5.74045801526714</v>
      </c>
      <c r="J176" s="9"/>
      <c r="K176" s="9" t="s">
        <v>373</v>
      </c>
      <c r="L176" s="0" t="n">
        <v>1996</v>
      </c>
      <c r="M176" s="9" t="s">
        <v>38</v>
      </c>
      <c r="N176" s="11" t="n">
        <v>30.45</v>
      </c>
      <c r="O176" s="11" t="s">
        <v>374</v>
      </c>
      <c r="P176" s="9" t="s">
        <v>39</v>
      </c>
      <c r="Q176" s="9" t="s">
        <v>53</v>
      </c>
      <c r="R176" s="9" t="s">
        <v>41</v>
      </c>
      <c r="S176" s="9" t="s">
        <v>192</v>
      </c>
      <c r="T176" s="9" t="s">
        <v>112</v>
      </c>
      <c r="U176" s="9" t="n">
        <v>5</v>
      </c>
      <c r="V176" s="9" t="n">
        <v>5</v>
      </c>
      <c r="W176" s="9" t="n">
        <v>1111</v>
      </c>
      <c r="X176" s="9"/>
      <c r="Y176" s="9" t="n">
        <f aca="false">W176+X176</f>
        <v>1111</v>
      </c>
      <c r="Z176" s="9"/>
      <c r="AA176" s="12" t="n">
        <v>0.24</v>
      </c>
      <c r="AB176" s="12"/>
      <c r="AC176" s="12" t="n">
        <f aca="false">I176/V176</f>
        <v>1.14809160305343</v>
      </c>
      <c r="AD176" s="12" t="n">
        <f aca="false">(I175/V175)*AA175</f>
        <v>1.10733435114504</v>
      </c>
    </row>
    <row r="177" customFormat="false" ht="13.8" hidden="false" customHeight="false" outlineLevel="0" collapsed="false">
      <c r="A177" s="9" t="n">
        <v>176</v>
      </c>
      <c r="B177" s="9" t="s">
        <v>30</v>
      </c>
      <c r="C177" s="9" t="s">
        <v>47</v>
      </c>
      <c r="D177" s="9" t="s">
        <v>377</v>
      </c>
      <c r="E177" s="9" t="s">
        <v>371</v>
      </c>
      <c r="F177" s="9" t="s">
        <v>372</v>
      </c>
      <c r="G177" s="12" t="n">
        <v>9.99999999999999</v>
      </c>
      <c r="H177" s="9" t="s">
        <v>230</v>
      </c>
      <c r="I177" s="12" t="n">
        <f aca="false">G177*0.47</f>
        <v>4.7</v>
      </c>
      <c r="J177" s="9"/>
      <c r="K177" s="9" t="s">
        <v>373</v>
      </c>
      <c r="L177" s="0" t="n">
        <v>1996</v>
      </c>
      <c r="M177" s="9" t="s">
        <v>38</v>
      </c>
      <c r="N177" s="11" t="n">
        <v>30.45</v>
      </c>
      <c r="O177" s="11" t="s">
        <v>374</v>
      </c>
      <c r="P177" s="9" t="s">
        <v>39</v>
      </c>
      <c r="Q177" s="9" t="s">
        <v>53</v>
      </c>
      <c r="R177" s="9" t="s">
        <v>41</v>
      </c>
      <c r="S177" s="9" t="s">
        <v>192</v>
      </c>
      <c r="T177" s="9" t="s">
        <v>112</v>
      </c>
      <c r="U177" s="9" t="n">
        <v>5</v>
      </c>
      <c r="V177" s="9" t="n">
        <v>5</v>
      </c>
      <c r="W177" s="9" t="n">
        <v>1111</v>
      </c>
      <c r="X177" s="9"/>
      <c r="Y177" s="9" t="n">
        <f aca="false">W177+X177</f>
        <v>1111</v>
      </c>
      <c r="Z177" s="9"/>
      <c r="AA177" s="12" t="n">
        <v>0.24</v>
      </c>
      <c r="AB177" s="12"/>
      <c r="AC177" s="12" t="n">
        <f aca="false">I177/V177</f>
        <v>0.939999999999999</v>
      </c>
      <c r="AD177" s="12" t="n">
        <f aca="false">(I176/V176)*AA176</f>
        <v>0.275541984732823</v>
      </c>
    </row>
    <row r="178" customFormat="false" ht="13.8" hidden="false" customHeight="false" outlineLevel="0" collapsed="false">
      <c r="A178" s="9" t="n">
        <v>177</v>
      </c>
      <c r="B178" s="9" t="s">
        <v>30</v>
      </c>
      <c r="C178" s="9" t="s">
        <v>47</v>
      </c>
      <c r="D178" s="9" t="s">
        <v>378</v>
      </c>
      <c r="E178" s="9" t="s">
        <v>371</v>
      </c>
      <c r="F178" s="9" t="s">
        <v>372</v>
      </c>
      <c r="G178" s="12" t="n">
        <v>22.9770992366412</v>
      </c>
      <c r="H178" s="9" t="s">
        <v>230</v>
      </c>
      <c r="I178" s="12" t="n">
        <f aca="false">G178*0.47</f>
        <v>10.7992366412214</v>
      </c>
      <c r="J178" s="9"/>
      <c r="K178" s="9" t="s">
        <v>373</v>
      </c>
      <c r="L178" s="0" t="n">
        <v>1996</v>
      </c>
      <c r="M178" s="9" t="s">
        <v>38</v>
      </c>
      <c r="N178" s="11" t="n">
        <v>30.45</v>
      </c>
      <c r="O178" s="11" t="s">
        <v>374</v>
      </c>
      <c r="P178" s="9" t="s">
        <v>39</v>
      </c>
      <c r="Q178" s="9" t="s">
        <v>53</v>
      </c>
      <c r="R178" s="9" t="s">
        <v>41</v>
      </c>
      <c r="S178" s="9" t="s">
        <v>192</v>
      </c>
      <c r="T178" s="9" t="s">
        <v>112</v>
      </c>
      <c r="U178" s="9" t="n">
        <v>5</v>
      </c>
      <c r="V178" s="9" t="n">
        <v>5</v>
      </c>
      <c r="W178" s="9" t="n">
        <v>1111</v>
      </c>
      <c r="X178" s="9"/>
      <c r="Y178" s="9" t="n">
        <f aca="false">W178+X178</f>
        <v>1111</v>
      </c>
      <c r="Z178" s="9"/>
      <c r="AA178" s="12" t="n">
        <v>0.24</v>
      </c>
      <c r="AB178" s="12"/>
      <c r="AC178" s="12" t="n">
        <f aca="false">I178/V178</f>
        <v>2.15984732824427</v>
      </c>
      <c r="AD178" s="12" t="n">
        <f aca="false">(I177/V177)*AA177</f>
        <v>0.2256</v>
      </c>
    </row>
    <row r="179" customFormat="false" ht="13.8" hidden="false" customHeight="false" outlineLevel="0" collapsed="false">
      <c r="A179" s="9" t="n">
        <v>178</v>
      </c>
      <c r="B179" s="9" t="s">
        <v>30</v>
      </c>
      <c r="C179" s="9" t="s">
        <v>47</v>
      </c>
      <c r="D179" s="9" t="s">
        <v>379</v>
      </c>
      <c r="E179" s="9" t="s">
        <v>371</v>
      </c>
      <c r="F179" s="9" t="s">
        <v>372</v>
      </c>
      <c r="G179" s="12" t="n">
        <v>18.3206106870229</v>
      </c>
      <c r="H179" s="9" t="s">
        <v>230</v>
      </c>
      <c r="I179" s="12" t="n">
        <f aca="false">G179*0.47</f>
        <v>8.61068702290076</v>
      </c>
      <c r="J179" s="9"/>
      <c r="K179" s="9" t="s">
        <v>373</v>
      </c>
      <c r="L179" s="0" t="n">
        <v>1996</v>
      </c>
      <c r="M179" s="9" t="s">
        <v>38</v>
      </c>
      <c r="N179" s="11" t="n">
        <v>30.45</v>
      </c>
      <c r="O179" s="11" t="s">
        <v>374</v>
      </c>
      <c r="P179" s="9" t="s">
        <v>39</v>
      </c>
      <c r="Q179" s="9" t="s">
        <v>53</v>
      </c>
      <c r="R179" s="9" t="s">
        <v>41</v>
      </c>
      <c r="S179" s="9" t="s">
        <v>192</v>
      </c>
      <c r="T179" s="9" t="s">
        <v>112</v>
      </c>
      <c r="U179" s="9" t="n">
        <v>5</v>
      </c>
      <c r="V179" s="9" t="n">
        <v>5</v>
      </c>
      <c r="W179" s="9" t="n">
        <v>1111</v>
      </c>
      <c r="X179" s="9"/>
      <c r="Y179" s="9" t="n">
        <f aca="false">W179+X179</f>
        <v>1111</v>
      </c>
      <c r="Z179" s="9"/>
      <c r="AA179" s="12" t="n">
        <v>0.24</v>
      </c>
      <c r="AB179" s="12"/>
      <c r="AC179" s="12" t="n">
        <f aca="false">I179/V179</f>
        <v>1.72213740458015</v>
      </c>
      <c r="AD179" s="12" t="n">
        <f aca="false">(I178/V178)*AA178</f>
        <v>0.518363358778625</v>
      </c>
    </row>
    <row r="180" customFormat="false" ht="13.8" hidden="false" customHeight="false" outlineLevel="0" collapsed="false">
      <c r="A180" s="9" t="n">
        <v>179</v>
      </c>
      <c r="B180" s="9" t="s">
        <v>30</v>
      </c>
      <c r="C180" s="9" t="s">
        <v>47</v>
      </c>
      <c r="D180" s="9" t="s">
        <v>380</v>
      </c>
      <c r="E180" s="9" t="s">
        <v>371</v>
      </c>
      <c r="F180" s="9" t="s">
        <v>372</v>
      </c>
      <c r="G180" s="12" t="n">
        <v>8.85496183206104</v>
      </c>
      <c r="H180" s="9" t="s">
        <v>230</v>
      </c>
      <c r="I180" s="12" t="n">
        <f aca="false">G180*0.47</f>
        <v>4.16183206106869</v>
      </c>
      <c r="J180" s="9"/>
      <c r="K180" s="9" t="s">
        <v>373</v>
      </c>
      <c r="L180" s="0" t="n">
        <v>1996</v>
      </c>
      <c r="M180" s="9" t="s">
        <v>38</v>
      </c>
      <c r="N180" s="11" t="n">
        <v>30.45</v>
      </c>
      <c r="O180" s="11" t="s">
        <v>374</v>
      </c>
      <c r="P180" s="9" t="s">
        <v>39</v>
      </c>
      <c r="Q180" s="9" t="s">
        <v>53</v>
      </c>
      <c r="R180" s="9" t="s">
        <v>41</v>
      </c>
      <c r="S180" s="9" t="s">
        <v>192</v>
      </c>
      <c r="T180" s="9" t="s">
        <v>112</v>
      </c>
      <c r="U180" s="9" t="n">
        <v>5</v>
      </c>
      <c r="V180" s="9" t="n">
        <v>5</v>
      </c>
      <c r="W180" s="9" t="n">
        <v>1111</v>
      </c>
      <c r="X180" s="9"/>
      <c r="Y180" s="9" t="n">
        <f aca="false">W180+X180</f>
        <v>1111</v>
      </c>
      <c r="Z180" s="9"/>
      <c r="AA180" s="12" t="n">
        <v>0.24</v>
      </c>
      <c r="AB180" s="12"/>
      <c r="AC180" s="12" t="n">
        <f aca="false">I180/V180</f>
        <v>0.832366412213738</v>
      </c>
      <c r="AD180" s="12" t="n">
        <f aca="false">(I179/V179)*AA179</f>
        <v>0.413312977099237</v>
      </c>
    </row>
    <row r="181" customFormat="false" ht="13.8" hidden="false" customHeight="false" outlineLevel="0" collapsed="false">
      <c r="A181" s="9" t="n">
        <v>180</v>
      </c>
      <c r="B181" s="9" t="s">
        <v>30</v>
      </c>
      <c r="C181" s="9" t="s">
        <v>47</v>
      </c>
      <c r="D181" s="9" t="s">
        <v>381</v>
      </c>
      <c r="E181" s="9" t="s">
        <v>371</v>
      </c>
      <c r="F181" s="9" t="s">
        <v>372</v>
      </c>
      <c r="G181" s="12" t="n">
        <v>11.4503816793893</v>
      </c>
      <c r="H181" s="9" t="s">
        <v>230</v>
      </c>
      <c r="I181" s="12" t="n">
        <f aca="false">G181*0.47</f>
        <v>5.38167938931297</v>
      </c>
      <c r="J181" s="9"/>
      <c r="K181" s="9" t="s">
        <v>373</v>
      </c>
      <c r="L181" s="0" t="n">
        <v>1996</v>
      </c>
      <c r="M181" s="9" t="s">
        <v>38</v>
      </c>
      <c r="N181" s="11" t="n">
        <v>30.45</v>
      </c>
      <c r="O181" s="11" t="s">
        <v>374</v>
      </c>
      <c r="P181" s="9" t="s">
        <v>39</v>
      </c>
      <c r="Q181" s="9" t="s">
        <v>53</v>
      </c>
      <c r="R181" s="9" t="s">
        <v>41</v>
      </c>
      <c r="S181" s="9" t="s">
        <v>192</v>
      </c>
      <c r="T181" s="9" t="s">
        <v>112</v>
      </c>
      <c r="U181" s="9" t="n">
        <v>5</v>
      </c>
      <c r="V181" s="9" t="n">
        <v>5</v>
      </c>
      <c r="W181" s="9" t="n">
        <v>1111</v>
      </c>
      <c r="X181" s="9"/>
      <c r="Y181" s="9" t="n">
        <f aca="false">W181+X181</f>
        <v>1111</v>
      </c>
      <c r="Z181" s="9"/>
      <c r="AA181" s="12" t="n">
        <v>0.24</v>
      </c>
      <c r="AB181" s="12"/>
      <c r="AC181" s="12" t="n">
        <f aca="false">I181/V181</f>
        <v>1.07633587786259</v>
      </c>
      <c r="AD181" s="12" t="n">
        <f aca="false">(I180/V180)*AA180</f>
        <v>0.199767938931297</v>
      </c>
    </row>
    <row r="182" customFormat="false" ht="13.8" hidden="false" customHeight="false" outlineLevel="0" collapsed="false">
      <c r="A182" s="9" t="n">
        <v>181</v>
      </c>
      <c r="B182" s="9" t="s">
        <v>30</v>
      </c>
      <c r="C182" s="9" t="s">
        <v>47</v>
      </c>
      <c r="D182" s="9" t="s">
        <v>382</v>
      </c>
      <c r="E182" s="9" t="s">
        <v>371</v>
      </c>
      <c r="F182" s="9" t="s">
        <v>372</v>
      </c>
      <c r="G182" s="12" t="n">
        <v>6.79389312977098</v>
      </c>
      <c r="H182" s="9" t="s">
        <v>230</v>
      </c>
      <c r="I182" s="12" t="n">
        <f aca="false">G182*0.47</f>
        <v>3.19312977099236</v>
      </c>
      <c r="J182" s="9"/>
      <c r="K182" s="9" t="s">
        <v>373</v>
      </c>
      <c r="L182" s="0" t="n">
        <v>1996</v>
      </c>
      <c r="M182" s="9" t="s">
        <v>38</v>
      </c>
      <c r="N182" s="11" t="n">
        <v>30.45</v>
      </c>
      <c r="O182" s="11" t="s">
        <v>374</v>
      </c>
      <c r="P182" s="9" t="s">
        <v>39</v>
      </c>
      <c r="Q182" s="9" t="s">
        <v>53</v>
      </c>
      <c r="R182" s="9" t="s">
        <v>41</v>
      </c>
      <c r="S182" s="9" t="s">
        <v>192</v>
      </c>
      <c r="T182" s="9" t="s">
        <v>112</v>
      </c>
      <c r="U182" s="9" t="n">
        <v>5</v>
      </c>
      <c r="V182" s="9" t="n">
        <v>5</v>
      </c>
      <c r="W182" s="9" t="n">
        <v>1111</v>
      </c>
      <c r="X182" s="9"/>
      <c r="Y182" s="9" t="n">
        <f aca="false">W182+X182</f>
        <v>1111</v>
      </c>
      <c r="Z182" s="9"/>
      <c r="AA182" s="12" t="n">
        <v>0.24</v>
      </c>
      <c r="AB182" s="12"/>
      <c r="AC182" s="12" t="n">
        <f aca="false">I182/V182</f>
        <v>0.638625954198472</v>
      </c>
      <c r="AD182" s="12" t="n">
        <f aca="false">(I181/V181)*AA181</f>
        <v>0.258320610687023</v>
      </c>
    </row>
    <row r="183" customFormat="false" ht="13.8" hidden="false" customHeight="false" outlineLevel="0" collapsed="false">
      <c r="A183" s="9" t="n">
        <v>182</v>
      </c>
      <c r="B183" s="9" t="s">
        <v>30</v>
      </c>
      <c r="C183" s="9" t="s">
        <v>47</v>
      </c>
      <c r="D183" s="9" t="s">
        <v>383</v>
      </c>
      <c r="E183" s="9" t="s">
        <v>371</v>
      </c>
      <c r="F183" s="9" t="s">
        <v>372</v>
      </c>
      <c r="G183" s="12" t="n">
        <v>15.1145038167939</v>
      </c>
      <c r="H183" s="9" t="s">
        <v>230</v>
      </c>
      <c r="I183" s="12" t="n">
        <f aca="false">G183*0.47</f>
        <v>7.10381679389313</v>
      </c>
      <c r="J183" s="9"/>
      <c r="K183" s="9" t="s">
        <v>373</v>
      </c>
      <c r="L183" s="0" t="n">
        <v>1996</v>
      </c>
      <c r="M183" s="9" t="s">
        <v>38</v>
      </c>
      <c r="N183" s="11" t="n">
        <v>30.45</v>
      </c>
      <c r="O183" s="11" t="s">
        <v>374</v>
      </c>
      <c r="P183" s="9" t="s">
        <v>39</v>
      </c>
      <c r="Q183" s="9" t="s">
        <v>53</v>
      </c>
      <c r="R183" s="9" t="s">
        <v>41</v>
      </c>
      <c r="S183" s="9" t="s">
        <v>192</v>
      </c>
      <c r="T183" s="9" t="s">
        <v>112</v>
      </c>
      <c r="U183" s="9" t="n">
        <v>5</v>
      </c>
      <c r="V183" s="9" t="n">
        <v>5</v>
      </c>
      <c r="W183" s="9" t="n">
        <v>1111</v>
      </c>
      <c r="X183" s="9"/>
      <c r="Y183" s="9" t="n">
        <f aca="false">W183+X183</f>
        <v>1111</v>
      </c>
      <c r="Z183" s="9"/>
      <c r="AA183" s="12" t="n">
        <v>0.24</v>
      </c>
      <c r="AB183" s="12"/>
      <c r="AC183" s="12" t="n">
        <f aca="false">I183/V183</f>
        <v>1.42076335877863</v>
      </c>
      <c r="AD183" s="12" t="n">
        <f aca="false">(I182/V182)*AA182</f>
        <v>0.153270229007633</v>
      </c>
    </row>
    <row r="184" customFormat="false" ht="13.8" hidden="false" customHeight="false" outlineLevel="0" collapsed="false">
      <c r="A184" s="9" t="n">
        <v>183</v>
      </c>
      <c r="B184" s="9" t="s">
        <v>59</v>
      </c>
      <c r="C184" s="9" t="s">
        <v>60</v>
      </c>
      <c r="D184" s="9" t="s">
        <v>384</v>
      </c>
      <c r="E184" s="9" t="s">
        <v>385</v>
      </c>
      <c r="F184" s="9" t="s">
        <v>386</v>
      </c>
      <c r="G184" s="9" t="n">
        <v>1.2</v>
      </c>
      <c r="H184" s="9" t="s">
        <v>36</v>
      </c>
      <c r="I184" s="9"/>
      <c r="J184" s="9"/>
      <c r="K184" s="9" t="s">
        <v>387</v>
      </c>
      <c r="L184" s="0" t="n">
        <v>1993</v>
      </c>
      <c r="M184" s="9" t="s">
        <v>38</v>
      </c>
      <c r="N184" s="11" t="n">
        <v>-15.5</v>
      </c>
      <c r="O184" s="11" t="s">
        <v>388</v>
      </c>
      <c r="P184" s="9" t="s">
        <v>39</v>
      </c>
      <c r="Q184" s="9" t="s">
        <v>53</v>
      </c>
      <c r="R184" s="9" t="s">
        <v>41</v>
      </c>
      <c r="S184" s="9" t="s">
        <v>389</v>
      </c>
      <c r="T184" s="9" t="s">
        <v>43</v>
      </c>
      <c r="U184" s="9" t="n">
        <v>10</v>
      </c>
      <c r="V184" s="9" t="n">
        <v>1</v>
      </c>
      <c r="W184" s="9" t="n">
        <v>6584</v>
      </c>
      <c r="X184" s="9"/>
      <c r="Y184" s="9" t="n">
        <f aca="false">W184+X184</f>
        <v>6584</v>
      </c>
      <c r="Z184" s="9"/>
      <c r="AA184" s="12" t="n">
        <v>0.24</v>
      </c>
      <c r="AB184" s="12"/>
      <c r="AC184" s="12" t="n">
        <f aca="false">G184/V184</f>
        <v>1.2</v>
      </c>
      <c r="AD184" s="12" t="n">
        <f aca="false">(G184/V184)*AA184</f>
        <v>0.288</v>
      </c>
    </row>
    <row r="185" customFormat="false" ht="13.8" hidden="false" customHeight="false" outlineLevel="0" collapsed="false">
      <c r="A185" s="9" t="n">
        <v>184</v>
      </c>
      <c r="B185" s="9" t="s">
        <v>59</v>
      </c>
      <c r="C185" s="9" t="s">
        <v>60</v>
      </c>
      <c r="D185" s="9" t="s">
        <v>384</v>
      </c>
      <c r="E185" s="9" t="s">
        <v>385</v>
      </c>
      <c r="F185" s="9" t="s">
        <v>386</v>
      </c>
      <c r="G185" s="9" t="n">
        <v>1.8</v>
      </c>
      <c r="H185" s="9" t="s">
        <v>36</v>
      </c>
      <c r="I185" s="9"/>
      <c r="J185" s="9"/>
      <c r="K185" s="9" t="s">
        <v>387</v>
      </c>
      <c r="L185" s="0" t="n">
        <v>1994</v>
      </c>
      <c r="M185" s="9" t="s">
        <v>38</v>
      </c>
      <c r="N185" s="11" t="n">
        <v>-15.5</v>
      </c>
      <c r="O185" s="11" t="s">
        <v>388</v>
      </c>
      <c r="P185" s="9" t="s">
        <v>39</v>
      </c>
      <c r="Q185" s="9" t="s">
        <v>53</v>
      </c>
      <c r="R185" s="9" t="s">
        <v>41</v>
      </c>
      <c r="S185" s="9" t="s">
        <v>389</v>
      </c>
      <c r="T185" s="9" t="s">
        <v>43</v>
      </c>
      <c r="U185" s="9" t="n">
        <v>10</v>
      </c>
      <c r="V185" s="9" t="n">
        <v>1</v>
      </c>
      <c r="W185" s="9" t="n">
        <v>6584</v>
      </c>
      <c r="X185" s="9"/>
      <c r="Y185" s="9" t="n">
        <f aca="false">W185+X185</f>
        <v>6584</v>
      </c>
      <c r="Z185" s="9"/>
      <c r="AA185" s="12" t="n">
        <v>0.24</v>
      </c>
      <c r="AB185" s="12"/>
      <c r="AC185" s="12" t="n">
        <f aca="false">G185/V185</f>
        <v>1.8</v>
      </c>
      <c r="AD185" s="12" t="n">
        <f aca="false">(G185/V185)*AA185</f>
        <v>0.432</v>
      </c>
    </row>
    <row r="186" customFormat="false" ht="13.8" hidden="false" customHeight="false" outlineLevel="0" collapsed="false">
      <c r="A186" s="9" t="n">
        <v>185</v>
      </c>
      <c r="B186" s="9" t="s">
        <v>59</v>
      </c>
      <c r="C186" s="9" t="s">
        <v>60</v>
      </c>
      <c r="D186" s="9" t="s">
        <v>384</v>
      </c>
      <c r="E186" s="9" t="s">
        <v>385</v>
      </c>
      <c r="F186" s="9" t="s">
        <v>386</v>
      </c>
      <c r="G186" s="9" t="n">
        <v>1.7</v>
      </c>
      <c r="H186" s="9" t="s">
        <v>36</v>
      </c>
      <c r="I186" s="9"/>
      <c r="J186" s="9"/>
      <c r="K186" s="9" t="s">
        <v>387</v>
      </c>
      <c r="L186" s="0" t="n">
        <v>1995</v>
      </c>
      <c r="M186" s="9" t="s">
        <v>38</v>
      </c>
      <c r="N186" s="11" t="n">
        <v>-15.5</v>
      </c>
      <c r="O186" s="11" t="s">
        <v>388</v>
      </c>
      <c r="P186" s="9" t="s">
        <v>39</v>
      </c>
      <c r="Q186" s="9" t="s">
        <v>53</v>
      </c>
      <c r="R186" s="9" t="s">
        <v>41</v>
      </c>
      <c r="S186" s="9" t="s">
        <v>389</v>
      </c>
      <c r="T186" s="9" t="s">
        <v>43</v>
      </c>
      <c r="U186" s="9" t="n">
        <v>10</v>
      </c>
      <c r="V186" s="9" t="n">
        <v>1</v>
      </c>
      <c r="W186" s="9" t="n">
        <v>6584</v>
      </c>
      <c r="X186" s="9"/>
      <c r="Y186" s="9" t="n">
        <f aca="false">W186+X186</f>
        <v>6584</v>
      </c>
      <c r="Z186" s="9"/>
      <c r="AA186" s="12" t="n">
        <v>0.24</v>
      </c>
      <c r="AB186" s="12"/>
      <c r="AC186" s="12" t="n">
        <f aca="false">G186/V186</f>
        <v>1.7</v>
      </c>
      <c r="AD186" s="12" t="n">
        <f aca="false">(G186/V186)*AA186</f>
        <v>0.408</v>
      </c>
    </row>
    <row r="187" customFormat="false" ht="13.8" hidden="false" customHeight="false" outlineLevel="0" collapsed="false">
      <c r="A187" s="9" t="n">
        <v>186</v>
      </c>
      <c r="B187" s="9" t="s">
        <v>59</v>
      </c>
      <c r="C187" s="9" t="s">
        <v>60</v>
      </c>
      <c r="D187" s="9" t="s">
        <v>384</v>
      </c>
      <c r="E187" s="9" t="s">
        <v>385</v>
      </c>
      <c r="F187" s="9" t="s">
        <v>386</v>
      </c>
      <c r="G187" s="9" t="n">
        <v>2.2</v>
      </c>
      <c r="H187" s="9" t="s">
        <v>36</v>
      </c>
      <c r="I187" s="9"/>
      <c r="J187" s="9"/>
      <c r="K187" s="9" t="s">
        <v>387</v>
      </c>
      <c r="L187" s="0" t="n">
        <v>1996</v>
      </c>
      <c r="M187" s="9" t="s">
        <v>38</v>
      </c>
      <c r="N187" s="11" t="n">
        <v>-15.5</v>
      </c>
      <c r="O187" s="11" t="s">
        <v>388</v>
      </c>
      <c r="P187" s="9" t="s">
        <v>39</v>
      </c>
      <c r="Q187" s="9" t="s">
        <v>53</v>
      </c>
      <c r="R187" s="9" t="s">
        <v>41</v>
      </c>
      <c r="S187" s="9" t="s">
        <v>389</v>
      </c>
      <c r="T187" s="9" t="s">
        <v>43</v>
      </c>
      <c r="U187" s="9" t="n">
        <v>10</v>
      </c>
      <c r="V187" s="9" t="n">
        <v>1</v>
      </c>
      <c r="W187" s="9" t="n">
        <v>6584</v>
      </c>
      <c r="X187" s="9"/>
      <c r="Y187" s="9" t="n">
        <f aca="false">W187+X187</f>
        <v>6584</v>
      </c>
      <c r="Z187" s="9"/>
      <c r="AA187" s="12" t="n">
        <v>0.24</v>
      </c>
      <c r="AB187" s="12"/>
      <c r="AC187" s="12" t="n">
        <f aca="false">G187/V187</f>
        <v>2.2</v>
      </c>
      <c r="AD187" s="12" t="n">
        <f aca="false">(G187/V187)*AA187</f>
        <v>0.528</v>
      </c>
    </row>
    <row r="188" customFormat="false" ht="13.8" hidden="false" customHeight="false" outlineLevel="0" collapsed="false">
      <c r="A188" s="9" t="n">
        <v>187</v>
      </c>
      <c r="B188" s="9" t="s">
        <v>59</v>
      </c>
      <c r="C188" s="9" t="s">
        <v>60</v>
      </c>
      <c r="D188" s="9" t="s">
        <v>384</v>
      </c>
      <c r="E188" s="9" t="s">
        <v>385</v>
      </c>
      <c r="F188" s="9" t="s">
        <v>386</v>
      </c>
      <c r="G188" s="9" t="n">
        <v>2.4</v>
      </c>
      <c r="H188" s="9" t="s">
        <v>36</v>
      </c>
      <c r="I188" s="9"/>
      <c r="J188" s="9"/>
      <c r="K188" s="9" t="s">
        <v>387</v>
      </c>
      <c r="L188" s="0" t="n">
        <v>1997</v>
      </c>
      <c r="M188" s="9" t="s">
        <v>38</v>
      </c>
      <c r="N188" s="11" t="n">
        <v>-15.5</v>
      </c>
      <c r="O188" s="11" t="s">
        <v>388</v>
      </c>
      <c r="P188" s="9" t="s">
        <v>39</v>
      </c>
      <c r="Q188" s="9" t="s">
        <v>53</v>
      </c>
      <c r="R188" s="9" t="s">
        <v>41</v>
      </c>
      <c r="S188" s="9" t="s">
        <v>389</v>
      </c>
      <c r="T188" s="9" t="s">
        <v>43</v>
      </c>
      <c r="U188" s="9" t="n">
        <v>10</v>
      </c>
      <c r="V188" s="9" t="n">
        <v>1</v>
      </c>
      <c r="W188" s="9" t="n">
        <v>6584</v>
      </c>
      <c r="X188" s="9"/>
      <c r="Y188" s="9" t="n">
        <f aca="false">W188+X188</f>
        <v>6584</v>
      </c>
      <c r="Z188" s="9"/>
      <c r="AA188" s="12" t="n">
        <v>0.24</v>
      </c>
      <c r="AB188" s="12"/>
      <c r="AC188" s="12" t="n">
        <f aca="false">G188/V188</f>
        <v>2.4</v>
      </c>
      <c r="AD188" s="12" t="n">
        <f aca="false">(G188/V188)*AA188</f>
        <v>0.576</v>
      </c>
    </row>
    <row r="189" customFormat="false" ht="13.8" hidden="false" customHeight="false" outlineLevel="0" collapsed="false">
      <c r="A189" s="9" t="n">
        <v>188</v>
      </c>
      <c r="B189" s="9" t="s">
        <v>59</v>
      </c>
      <c r="C189" s="9" t="s">
        <v>60</v>
      </c>
      <c r="D189" s="9" t="s">
        <v>384</v>
      </c>
      <c r="E189" s="9" t="s">
        <v>385</v>
      </c>
      <c r="F189" s="9" t="s">
        <v>386</v>
      </c>
      <c r="G189" s="9" t="n">
        <v>2.5</v>
      </c>
      <c r="H189" s="9" t="s">
        <v>36</v>
      </c>
      <c r="I189" s="9"/>
      <c r="J189" s="9"/>
      <c r="K189" s="9" t="s">
        <v>387</v>
      </c>
      <c r="L189" s="0" t="n">
        <v>1998</v>
      </c>
      <c r="M189" s="9" t="s">
        <v>38</v>
      </c>
      <c r="N189" s="11" t="n">
        <v>-15.5</v>
      </c>
      <c r="O189" s="11" t="s">
        <v>388</v>
      </c>
      <c r="P189" s="9" t="s">
        <v>39</v>
      </c>
      <c r="Q189" s="9" t="s">
        <v>53</v>
      </c>
      <c r="R189" s="9" t="s">
        <v>41</v>
      </c>
      <c r="S189" s="9" t="s">
        <v>389</v>
      </c>
      <c r="T189" s="9" t="s">
        <v>43</v>
      </c>
      <c r="U189" s="9" t="n">
        <v>10</v>
      </c>
      <c r="V189" s="9" t="n">
        <v>1</v>
      </c>
      <c r="W189" s="9" t="n">
        <v>6584</v>
      </c>
      <c r="X189" s="9"/>
      <c r="Y189" s="9" t="n">
        <f aca="false">W189+X189</f>
        <v>6584</v>
      </c>
      <c r="Z189" s="9"/>
      <c r="AA189" s="12" t="n">
        <v>0.24</v>
      </c>
      <c r="AB189" s="12"/>
      <c r="AC189" s="12" t="n">
        <f aca="false">G189/V189</f>
        <v>2.5</v>
      </c>
      <c r="AD189" s="12" t="n">
        <f aca="false">(G189/V189)*AA189</f>
        <v>0.6</v>
      </c>
    </row>
    <row r="190" customFormat="false" ht="13.8" hidden="false" customHeight="false" outlineLevel="0" collapsed="false">
      <c r="A190" s="9" t="n">
        <v>189</v>
      </c>
      <c r="B190" s="9" t="s">
        <v>59</v>
      </c>
      <c r="C190" s="9" t="s">
        <v>60</v>
      </c>
      <c r="D190" s="9" t="s">
        <v>384</v>
      </c>
      <c r="E190" s="9" t="s">
        <v>385</v>
      </c>
      <c r="F190" s="9" t="s">
        <v>386</v>
      </c>
      <c r="G190" s="9" t="n">
        <v>2.8</v>
      </c>
      <c r="H190" s="9" t="s">
        <v>36</v>
      </c>
      <c r="I190" s="9"/>
      <c r="J190" s="9"/>
      <c r="K190" s="9" t="s">
        <v>387</v>
      </c>
      <c r="L190" s="0" t="n">
        <v>1999</v>
      </c>
      <c r="M190" s="9" t="s">
        <v>38</v>
      </c>
      <c r="N190" s="11" t="n">
        <v>-15.5</v>
      </c>
      <c r="O190" s="11" t="s">
        <v>388</v>
      </c>
      <c r="P190" s="9" t="s">
        <v>39</v>
      </c>
      <c r="Q190" s="9" t="s">
        <v>53</v>
      </c>
      <c r="R190" s="9" t="s">
        <v>41</v>
      </c>
      <c r="S190" s="9" t="s">
        <v>389</v>
      </c>
      <c r="T190" s="9" t="s">
        <v>43</v>
      </c>
      <c r="U190" s="9" t="n">
        <v>10</v>
      </c>
      <c r="V190" s="9" t="n">
        <v>1</v>
      </c>
      <c r="W190" s="9" t="n">
        <v>6584</v>
      </c>
      <c r="X190" s="9"/>
      <c r="Y190" s="9" t="n">
        <f aca="false">W190+X190</f>
        <v>6584</v>
      </c>
      <c r="Z190" s="9"/>
      <c r="AA190" s="12" t="n">
        <v>0.24</v>
      </c>
      <c r="AB190" s="12"/>
      <c r="AC190" s="12" t="n">
        <f aca="false">G190/V190</f>
        <v>2.8</v>
      </c>
      <c r="AD190" s="12" t="n">
        <f aca="false">(G190/V190)*AA190</f>
        <v>0.672</v>
      </c>
    </row>
    <row r="191" customFormat="false" ht="13.8" hidden="false" customHeight="false" outlineLevel="0" collapsed="false">
      <c r="A191" s="9" t="n">
        <v>190</v>
      </c>
      <c r="B191" s="9" t="s">
        <v>59</v>
      </c>
      <c r="C191" s="9" t="s">
        <v>60</v>
      </c>
      <c r="D191" s="9" t="s">
        <v>384</v>
      </c>
      <c r="E191" s="9" t="s">
        <v>385</v>
      </c>
      <c r="F191" s="9" t="s">
        <v>386</v>
      </c>
      <c r="G191" s="9" t="n">
        <v>1.5</v>
      </c>
      <c r="H191" s="9" t="s">
        <v>36</v>
      </c>
      <c r="I191" s="9"/>
      <c r="J191" s="9"/>
      <c r="K191" s="9" t="s">
        <v>387</v>
      </c>
      <c r="L191" s="0" t="n">
        <v>2000</v>
      </c>
      <c r="M191" s="9" t="s">
        <v>38</v>
      </c>
      <c r="N191" s="11" t="n">
        <v>-15.5</v>
      </c>
      <c r="O191" s="11" t="s">
        <v>388</v>
      </c>
      <c r="P191" s="9" t="s">
        <v>39</v>
      </c>
      <c r="Q191" s="9" t="s">
        <v>53</v>
      </c>
      <c r="R191" s="9" t="s">
        <v>41</v>
      </c>
      <c r="S191" s="9" t="s">
        <v>389</v>
      </c>
      <c r="T191" s="9" t="s">
        <v>43</v>
      </c>
      <c r="U191" s="9" t="n">
        <v>10</v>
      </c>
      <c r="V191" s="9" t="n">
        <v>1</v>
      </c>
      <c r="W191" s="9" t="n">
        <v>6584</v>
      </c>
      <c r="X191" s="9"/>
      <c r="Y191" s="9" t="n">
        <f aca="false">W191+X191</f>
        <v>6584</v>
      </c>
      <c r="Z191" s="9"/>
      <c r="AA191" s="12" t="n">
        <v>0.24</v>
      </c>
      <c r="AB191" s="12"/>
      <c r="AC191" s="12" t="n">
        <f aca="false">G191/V191</f>
        <v>1.5</v>
      </c>
      <c r="AD191" s="12" t="n">
        <f aca="false">(G191/V191)*AA191</f>
        <v>0.36</v>
      </c>
    </row>
    <row r="192" customFormat="false" ht="13.8" hidden="false" customHeight="false" outlineLevel="0" collapsed="false">
      <c r="A192" s="9" t="n">
        <v>191</v>
      </c>
      <c r="B192" s="9" t="s">
        <v>59</v>
      </c>
      <c r="C192" s="9" t="s">
        <v>60</v>
      </c>
      <c r="D192" s="9" t="s">
        <v>384</v>
      </c>
      <c r="E192" s="9" t="s">
        <v>385</v>
      </c>
      <c r="F192" s="9" t="s">
        <v>386</v>
      </c>
      <c r="G192" s="9" t="n">
        <v>2.1</v>
      </c>
      <c r="H192" s="9" t="s">
        <v>36</v>
      </c>
      <c r="I192" s="9"/>
      <c r="J192" s="9"/>
      <c r="K192" s="9" t="s">
        <v>387</v>
      </c>
      <c r="L192" s="0" t="n">
        <v>2001</v>
      </c>
      <c r="M192" s="9" t="s">
        <v>38</v>
      </c>
      <c r="N192" s="11" t="n">
        <v>-15.5</v>
      </c>
      <c r="O192" s="11" t="s">
        <v>388</v>
      </c>
      <c r="P192" s="9" t="s">
        <v>39</v>
      </c>
      <c r="Q192" s="9" t="s">
        <v>53</v>
      </c>
      <c r="R192" s="9" t="s">
        <v>41</v>
      </c>
      <c r="S192" s="9" t="s">
        <v>389</v>
      </c>
      <c r="T192" s="9" t="s">
        <v>43</v>
      </c>
      <c r="U192" s="9" t="n">
        <v>10</v>
      </c>
      <c r="V192" s="9" t="n">
        <v>1</v>
      </c>
      <c r="W192" s="9" t="n">
        <v>6584</v>
      </c>
      <c r="X192" s="9"/>
      <c r="Y192" s="9" t="n">
        <f aca="false">W192+X192</f>
        <v>6584</v>
      </c>
      <c r="Z192" s="9"/>
      <c r="AA192" s="12" t="n">
        <v>0.24</v>
      </c>
      <c r="AB192" s="12"/>
      <c r="AC192" s="12" t="n">
        <f aca="false">G192/V192</f>
        <v>2.1</v>
      </c>
      <c r="AD192" s="12" t="n">
        <f aca="false">(G192/V192)*AA192</f>
        <v>0.504</v>
      </c>
    </row>
    <row r="193" customFormat="false" ht="13.8" hidden="false" customHeight="false" outlineLevel="0" collapsed="false">
      <c r="A193" s="9" t="n">
        <v>192</v>
      </c>
      <c r="B193" s="9" t="s">
        <v>59</v>
      </c>
      <c r="C193" s="9" t="s">
        <v>60</v>
      </c>
      <c r="D193" s="9" t="s">
        <v>384</v>
      </c>
      <c r="E193" s="9" t="s">
        <v>385</v>
      </c>
      <c r="F193" s="9" t="s">
        <v>386</v>
      </c>
      <c r="G193" s="9" t="n">
        <v>2.3</v>
      </c>
      <c r="H193" s="9" t="s">
        <v>36</v>
      </c>
      <c r="I193" s="9"/>
      <c r="J193" s="9"/>
      <c r="K193" s="9" t="s">
        <v>387</v>
      </c>
      <c r="L193" s="0" t="n">
        <v>2002</v>
      </c>
      <c r="M193" s="9" t="s">
        <v>38</v>
      </c>
      <c r="N193" s="11" t="n">
        <v>-15.5</v>
      </c>
      <c r="O193" s="11" t="s">
        <v>388</v>
      </c>
      <c r="P193" s="9" t="s">
        <v>39</v>
      </c>
      <c r="Q193" s="9" t="s">
        <v>53</v>
      </c>
      <c r="R193" s="9" t="s">
        <v>41</v>
      </c>
      <c r="S193" s="9" t="s">
        <v>389</v>
      </c>
      <c r="T193" s="9" t="s">
        <v>43</v>
      </c>
      <c r="U193" s="9" t="n">
        <v>10</v>
      </c>
      <c r="V193" s="9" t="n">
        <v>1</v>
      </c>
      <c r="W193" s="9" t="n">
        <v>6584</v>
      </c>
      <c r="X193" s="9"/>
      <c r="Y193" s="9" t="n">
        <f aca="false">W193+X193</f>
        <v>6584</v>
      </c>
      <c r="Z193" s="9"/>
      <c r="AA193" s="12" t="n">
        <v>0.24</v>
      </c>
      <c r="AB193" s="12"/>
      <c r="AC193" s="12" t="n">
        <f aca="false">G193/V193</f>
        <v>2.3</v>
      </c>
      <c r="AD193" s="12" t="n">
        <f aca="false">(G193/V193)*AA193</f>
        <v>0.552</v>
      </c>
    </row>
    <row r="194" customFormat="false" ht="13.8" hidden="false" customHeight="false" outlineLevel="0" collapsed="false">
      <c r="A194" s="9" t="n">
        <v>193</v>
      </c>
      <c r="B194" s="9" t="s">
        <v>59</v>
      </c>
      <c r="C194" s="9" t="s">
        <v>60</v>
      </c>
      <c r="D194" s="9" t="s">
        <v>384</v>
      </c>
      <c r="E194" s="9" t="s">
        <v>385</v>
      </c>
      <c r="F194" s="9" t="s">
        <v>386</v>
      </c>
      <c r="G194" s="9" t="n">
        <v>0.3</v>
      </c>
      <c r="H194" s="9" t="s">
        <v>36</v>
      </c>
      <c r="I194" s="9"/>
      <c r="J194" s="9"/>
      <c r="K194" s="9" t="s">
        <v>387</v>
      </c>
      <c r="L194" s="0" t="n">
        <v>1996</v>
      </c>
      <c r="M194" s="9" t="s">
        <v>38</v>
      </c>
      <c r="N194" s="11" t="n">
        <v>-15.5</v>
      </c>
      <c r="O194" s="11" t="s">
        <v>388</v>
      </c>
      <c r="P194" s="9" t="s">
        <v>39</v>
      </c>
      <c r="Q194" s="9" t="s">
        <v>53</v>
      </c>
      <c r="R194" s="9" t="s">
        <v>41</v>
      </c>
      <c r="S194" s="9" t="s">
        <v>389</v>
      </c>
      <c r="T194" s="9" t="s">
        <v>43</v>
      </c>
      <c r="U194" s="9" t="n">
        <v>7</v>
      </c>
      <c r="V194" s="9" t="n">
        <v>1</v>
      </c>
      <c r="W194" s="9" t="n">
        <v>7407</v>
      </c>
      <c r="X194" s="9"/>
      <c r="Y194" s="9" t="n">
        <f aca="false">W194+X194</f>
        <v>7407</v>
      </c>
      <c r="Z194" s="9"/>
      <c r="AA194" s="12" t="n">
        <v>0.24</v>
      </c>
      <c r="AB194" s="12"/>
      <c r="AC194" s="12" t="n">
        <f aca="false">G194/V194</f>
        <v>0.3</v>
      </c>
      <c r="AD194" s="12" t="n">
        <f aca="false">(G194/V194)*AA194</f>
        <v>0.072</v>
      </c>
    </row>
    <row r="195" customFormat="false" ht="13.8" hidden="false" customHeight="false" outlineLevel="0" collapsed="false">
      <c r="A195" s="9" t="n">
        <v>194</v>
      </c>
      <c r="B195" s="9" t="s">
        <v>59</v>
      </c>
      <c r="C195" s="9" t="s">
        <v>60</v>
      </c>
      <c r="D195" s="9" t="s">
        <v>384</v>
      </c>
      <c r="E195" s="9" t="s">
        <v>385</v>
      </c>
      <c r="F195" s="9" t="s">
        <v>386</v>
      </c>
      <c r="G195" s="9" t="n">
        <v>0.8</v>
      </c>
      <c r="H195" s="9" t="s">
        <v>36</v>
      </c>
      <c r="I195" s="9"/>
      <c r="J195" s="9"/>
      <c r="K195" s="9" t="s">
        <v>387</v>
      </c>
      <c r="L195" s="0" t="n">
        <v>1997</v>
      </c>
      <c r="M195" s="9" t="s">
        <v>38</v>
      </c>
      <c r="N195" s="11" t="n">
        <v>-15.5</v>
      </c>
      <c r="O195" s="11" t="s">
        <v>388</v>
      </c>
      <c r="P195" s="9" t="s">
        <v>39</v>
      </c>
      <c r="Q195" s="9" t="s">
        <v>53</v>
      </c>
      <c r="R195" s="9" t="s">
        <v>41</v>
      </c>
      <c r="S195" s="9" t="s">
        <v>389</v>
      </c>
      <c r="T195" s="9" t="s">
        <v>43</v>
      </c>
      <c r="U195" s="9" t="n">
        <v>7</v>
      </c>
      <c r="V195" s="9" t="n">
        <v>1</v>
      </c>
      <c r="W195" s="9" t="n">
        <v>7407</v>
      </c>
      <c r="X195" s="9"/>
      <c r="Y195" s="9" t="n">
        <f aca="false">W195+X195</f>
        <v>7407</v>
      </c>
      <c r="Z195" s="9"/>
      <c r="AA195" s="12" t="n">
        <v>0.24</v>
      </c>
      <c r="AB195" s="12"/>
      <c r="AC195" s="12" t="n">
        <f aca="false">G195/V195</f>
        <v>0.8</v>
      </c>
      <c r="AD195" s="12" t="n">
        <f aca="false">(G195/V195)*AA195</f>
        <v>0.192</v>
      </c>
    </row>
    <row r="196" customFormat="false" ht="13.8" hidden="false" customHeight="false" outlineLevel="0" collapsed="false">
      <c r="A196" s="9" t="n">
        <v>195</v>
      </c>
      <c r="B196" s="9" t="s">
        <v>59</v>
      </c>
      <c r="C196" s="9" t="s">
        <v>60</v>
      </c>
      <c r="D196" s="9" t="s">
        <v>384</v>
      </c>
      <c r="E196" s="9" t="s">
        <v>385</v>
      </c>
      <c r="F196" s="9" t="s">
        <v>386</v>
      </c>
      <c r="G196" s="9" t="n">
        <v>1.1</v>
      </c>
      <c r="H196" s="9" t="s">
        <v>36</v>
      </c>
      <c r="I196" s="9"/>
      <c r="J196" s="9"/>
      <c r="K196" s="9" t="s">
        <v>387</v>
      </c>
      <c r="L196" s="0" t="n">
        <v>1998</v>
      </c>
      <c r="M196" s="9" t="s">
        <v>38</v>
      </c>
      <c r="N196" s="11" t="n">
        <v>-15.5</v>
      </c>
      <c r="O196" s="11" t="s">
        <v>388</v>
      </c>
      <c r="P196" s="9" t="s">
        <v>39</v>
      </c>
      <c r="Q196" s="9" t="s">
        <v>53</v>
      </c>
      <c r="R196" s="9" t="s">
        <v>41</v>
      </c>
      <c r="S196" s="9" t="s">
        <v>389</v>
      </c>
      <c r="T196" s="9" t="s">
        <v>43</v>
      </c>
      <c r="U196" s="9" t="n">
        <v>7</v>
      </c>
      <c r="V196" s="9" t="n">
        <v>1</v>
      </c>
      <c r="W196" s="9" t="n">
        <v>7407</v>
      </c>
      <c r="X196" s="9"/>
      <c r="Y196" s="9" t="n">
        <f aca="false">W196+X196</f>
        <v>7407</v>
      </c>
      <c r="Z196" s="9"/>
      <c r="AA196" s="12" t="n">
        <v>0.24</v>
      </c>
      <c r="AB196" s="12"/>
      <c r="AC196" s="12" t="n">
        <f aca="false">G196/V196</f>
        <v>1.1</v>
      </c>
      <c r="AD196" s="12" t="n">
        <f aca="false">(G196/V196)*AA196</f>
        <v>0.264</v>
      </c>
    </row>
    <row r="197" customFormat="false" ht="13.8" hidden="false" customHeight="false" outlineLevel="0" collapsed="false">
      <c r="A197" s="9" t="n">
        <v>196</v>
      </c>
      <c r="B197" s="9" t="s">
        <v>59</v>
      </c>
      <c r="C197" s="9" t="s">
        <v>60</v>
      </c>
      <c r="D197" s="9" t="s">
        <v>384</v>
      </c>
      <c r="E197" s="9" t="s">
        <v>385</v>
      </c>
      <c r="F197" s="9" t="s">
        <v>386</v>
      </c>
      <c r="G197" s="9" t="n">
        <v>2.4</v>
      </c>
      <c r="H197" s="9" t="s">
        <v>36</v>
      </c>
      <c r="I197" s="9"/>
      <c r="J197" s="9"/>
      <c r="K197" s="9" t="s">
        <v>387</v>
      </c>
      <c r="L197" s="0" t="n">
        <v>1999</v>
      </c>
      <c r="M197" s="9" t="s">
        <v>38</v>
      </c>
      <c r="N197" s="11" t="n">
        <v>-15.5</v>
      </c>
      <c r="O197" s="11" t="s">
        <v>388</v>
      </c>
      <c r="P197" s="9" t="s">
        <v>39</v>
      </c>
      <c r="Q197" s="9" t="s">
        <v>53</v>
      </c>
      <c r="R197" s="9" t="s">
        <v>41</v>
      </c>
      <c r="S197" s="9" t="s">
        <v>389</v>
      </c>
      <c r="T197" s="9" t="s">
        <v>43</v>
      </c>
      <c r="U197" s="9" t="n">
        <v>7</v>
      </c>
      <c r="V197" s="9" t="n">
        <v>1</v>
      </c>
      <c r="W197" s="9" t="n">
        <v>7407</v>
      </c>
      <c r="X197" s="9"/>
      <c r="Y197" s="9" t="n">
        <f aca="false">W197+X197</f>
        <v>7407</v>
      </c>
      <c r="Z197" s="9"/>
      <c r="AA197" s="12" t="n">
        <v>0.24</v>
      </c>
      <c r="AB197" s="12"/>
      <c r="AC197" s="12" t="n">
        <f aca="false">G197/V197</f>
        <v>2.4</v>
      </c>
      <c r="AD197" s="12" t="n">
        <f aca="false">(G197/V197)*AA197</f>
        <v>0.576</v>
      </c>
    </row>
    <row r="198" customFormat="false" ht="13.8" hidden="false" customHeight="false" outlineLevel="0" collapsed="false">
      <c r="A198" s="9" t="n">
        <v>197</v>
      </c>
      <c r="B198" s="9" t="s">
        <v>59</v>
      </c>
      <c r="C198" s="9" t="s">
        <v>60</v>
      </c>
      <c r="D198" s="9" t="s">
        <v>384</v>
      </c>
      <c r="E198" s="9" t="s">
        <v>385</v>
      </c>
      <c r="F198" s="9" t="s">
        <v>386</v>
      </c>
      <c r="G198" s="9" t="n">
        <v>1.4</v>
      </c>
      <c r="H198" s="9" t="s">
        <v>36</v>
      </c>
      <c r="I198" s="9"/>
      <c r="J198" s="9"/>
      <c r="K198" s="9" t="s">
        <v>387</v>
      </c>
      <c r="L198" s="0" t="n">
        <v>2001</v>
      </c>
      <c r="M198" s="9" t="s">
        <v>38</v>
      </c>
      <c r="N198" s="11" t="n">
        <v>-15.5</v>
      </c>
      <c r="O198" s="11" t="s">
        <v>388</v>
      </c>
      <c r="P198" s="9" t="s">
        <v>39</v>
      </c>
      <c r="Q198" s="9" t="s">
        <v>53</v>
      </c>
      <c r="R198" s="9" t="s">
        <v>41</v>
      </c>
      <c r="S198" s="9" t="s">
        <v>389</v>
      </c>
      <c r="T198" s="9" t="s">
        <v>43</v>
      </c>
      <c r="U198" s="9" t="n">
        <v>7</v>
      </c>
      <c r="V198" s="9" t="n">
        <v>1</v>
      </c>
      <c r="W198" s="9" t="n">
        <v>7407</v>
      </c>
      <c r="X198" s="9"/>
      <c r="Y198" s="9" t="n">
        <f aca="false">W198+X198</f>
        <v>7407</v>
      </c>
      <c r="Z198" s="9"/>
      <c r="AA198" s="12" t="n">
        <v>0.24</v>
      </c>
      <c r="AB198" s="12"/>
      <c r="AC198" s="12" t="n">
        <f aca="false">G198/V198</f>
        <v>1.4</v>
      </c>
      <c r="AD198" s="12" t="n">
        <f aca="false">(G198/V198)*AA198</f>
        <v>0.336</v>
      </c>
    </row>
    <row r="199" customFormat="false" ht="13.8" hidden="false" customHeight="false" outlineLevel="0" collapsed="false">
      <c r="A199" s="9" t="n">
        <v>198</v>
      </c>
      <c r="B199" s="9" t="s">
        <v>59</v>
      </c>
      <c r="C199" s="9" t="s">
        <v>60</v>
      </c>
      <c r="D199" s="9" t="s">
        <v>384</v>
      </c>
      <c r="E199" s="9" t="s">
        <v>385</v>
      </c>
      <c r="F199" s="9" t="s">
        <v>386</v>
      </c>
      <c r="G199" s="9" t="n">
        <v>1.4</v>
      </c>
      <c r="H199" s="9" t="s">
        <v>36</v>
      </c>
      <c r="I199" s="9"/>
      <c r="J199" s="9"/>
      <c r="K199" s="9" t="s">
        <v>387</v>
      </c>
      <c r="L199" s="0" t="n">
        <v>2002</v>
      </c>
      <c r="M199" s="9" t="s">
        <v>38</v>
      </c>
      <c r="N199" s="11" t="n">
        <v>-15.5</v>
      </c>
      <c r="O199" s="11" t="s">
        <v>388</v>
      </c>
      <c r="P199" s="9" t="s">
        <v>39</v>
      </c>
      <c r="Q199" s="9" t="s">
        <v>53</v>
      </c>
      <c r="R199" s="9" t="s">
        <v>41</v>
      </c>
      <c r="S199" s="9" t="s">
        <v>389</v>
      </c>
      <c r="T199" s="9" t="s">
        <v>43</v>
      </c>
      <c r="U199" s="9" t="n">
        <v>7</v>
      </c>
      <c r="V199" s="9" t="n">
        <v>1</v>
      </c>
      <c r="W199" s="9" t="n">
        <v>7407</v>
      </c>
      <c r="X199" s="9"/>
      <c r="Y199" s="9" t="n">
        <f aca="false">W199+X199</f>
        <v>7407</v>
      </c>
      <c r="Z199" s="9"/>
      <c r="AA199" s="12" t="n">
        <v>0.24</v>
      </c>
      <c r="AB199" s="12"/>
      <c r="AC199" s="12" t="n">
        <f aca="false">G199/V199</f>
        <v>1.4</v>
      </c>
      <c r="AD199" s="12" t="n">
        <f aca="false">(G199/V199)*AA199</f>
        <v>0.336</v>
      </c>
    </row>
    <row r="200" customFormat="false" ht="13.8" hidden="false" customHeight="false" outlineLevel="0" collapsed="false">
      <c r="A200" s="9" t="n">
        <v>199</v>
      </c>
      <c r="B200" s="9" t="s">
        <v>30</v>
      </c>
      <c r="C200" s="9" t="s">
        <v>92</v>
      </c>
      <c r="D200" s="9" t="s">
        <v>390</v>
      </c>
      <c r="E200" s="9" t="s">
        <v>391</v>
      </c>
      <c r="F200" s="9" t="s">
        <v>392</v>
      </c>
      <c r="G200" s="9" t="n">
        <v>5.08</v>
      </c>
      <c r="H200" s="9" t="s">
        <v>36</v>
      </c>
      <c r="I200" s="9"/>
      <c r="J200" s="9"/>
      <c r="K200" s="9" t="s">
        <v>393</v>
      </c>
      <c r="L200" s="0" t="n">
        <v>2008</v>
      </c>
      <c r="M200" s="9" t="s">
        <v>38</v>
      </c>
      <c r="N200" s="11" t="n">
        <v>23.2</v>
      </c>
      <c r="O200" s="11" t="n">
        <v>69.7833333333333</v>
      </c>
      <c r="P200" s="9" t="s">
        <v>39</v>
      </c>
      <c r="Q200" s="9" t="s">
        <v>40</v>
      </c>
      <c r="R200" s="9" t="s">
        <v>41</v>
      </c>
      <c r="S200" s="9" t="s">
        <v>192</v>
      </c>
      <c r="T200" s="9" t="s">
        <v>112</v>
      </c>
      <c r="U200" s="9" t="n">
        <v>11</v>
      </c>
      <c r="V200" s="9" t="n">
        <v>11</v>
      </c>
      <c r="W200" s="9" t="n">
        <v>277</v>
      </c>
      <c r="X200" s="9"/>
      <c r="Y200" s="9" t="n">
        <f aca="false">W200+X200</f>
        <v>277</v>
      </c>
      <c r="Z200" s="9"/>
      <c r="AA200" s="12" t="n">
        <f aca="false">AB200/G200</f>
        <v>0.344488188976378</v>
      </c>
      <c r="AB200" s="12" t="n">
        <v>1.75</v>
      </c>
      <c r="AC200" s="12" t="n">
        <v>0.461818181818182</v>
      </c>
      <c r="AD200" s="12" t="n">
        <f aca="false">AB200/V200</f>
        <v>0.159090909090909</v>
      </c>
    </row>
    <row r="201" customFormat="false" ht="13.8" hidden="false" customHeight="false" outlineLevel="0" collapsed="false">
      <c r="A201" s="9" t="n">
        <v>200</v>
      </c>
      <c r="B201" s="9" t="s">
        <v>30</v>
      </c>
      <c r="C201" s="9" t="s">
        <v>92</v>
      </c>
      <c r="D201" s="9" t="s">
        <v>394</v>
      </c>
      <c r="E201" s="9" t="s">
        <v>391</v>
      </c>
      <c r="F201" s="9" t="s">
        <v>392</v>
      </c>
      <c r="G201" s="9" t="n">
        <v>4.91</v>
      </c>
      <c r="H201" s="9" t="s">
        <v>36</v>
      </c>
      <c r="I201" s="9"/>
      <c r="J201" s="9"/>
      <c r="K201" s="9" t="s">
        <v>393</v>
      </c>
      <c r="L201" s="0" t="n">
        <v>2008</v>
      </c>
      <c r="M201" s="9" t="s">
        <v>38</v>
      </c>
      <c r="N201" s="11" t="n">
        <v>23.2</v>
      </c>
      <c r="O201" s="11" t="n">
        <v>69.7833333333333</v>
      </c>
      <c r="P201" s="9" t="s">
        <v>39</v>
      </c>
      <c r="Q201" s="9" t="s">
        <v>40</v>
      </c>
      <c r="R201" s="9" t="s">
        <v>41</v>
      </c>
      <c r="S201" s="9" t="s">
        <v>192</v>
      </c>
      <c r="T201" s="9" t="s">
        <v>112</v>
      </c>
      <c r="U201" s="9" t="n">
        <v>11</v>
      </c>
      <c r="V201" s="9" t="n">
        <v>11</v>
      </c>
      <c r="W201" s="9" t="n">
        <v>277</v>
      </c>
      <c r="X201" s="9"/>
      <c r="Y201" s="9" t="n">
        <f aca="false">W201+X201</f>
        <v>277</v>
      </c>
      <c r="Z201" s="9"/>
      <c r="AA201" s="12" t="n">
        <f aca="false">AB201/G201</f>
        <v>0.252545824847251</v>
      </c>
      <c r="AB201" s="12" t="n">
        <v>1.24</v>
      </c>
      <c r="AC201" s="12" t="n">
        <v>0.446363636363636</v>
      </c>
      <c r="AD201" s="12" t="n">
        <f aca="false">AB201/V201</f>
        <v>0.112727272727273</v>
      </c>
    </row>
    <row r="202" customFormat="false" ht="13.8" hidden="false" customHeight="false" outlineLevel="0" collapsed="false">
      <c r="A202" s="9" t="n">
        <v>201</v>
      </c>
      <c r="B202" s="9" t="s">
        <v>30</v>
      </c>
      <c r="C202" s="9" t="s">
        <v>92</v>
      </c>
      <c r="D202" s="9" t="s">
        <v>395</v>
      </c>
      <c r="E202" s="9" t="s">
        <v>391</v>
      </c>
      <c r="F202" s="9" t="s">
        <v>392</v>
      </c>
      <c r="G202" s="9" t="n">
        <v>3.53</v>
      </c>
      <c r="H202" s="9" t="s">
        <v>36</v>
      </c>
      <c r="I202" s="9"/>
      <c r="J202" s="9"/>
      <c r="K202" s="9" t="s">
        <v>393</v>
      </c>
      <c r="L202" s="0" t="n">
        <v>2008</v>
      </c>
      <c r="M202" s="9" t="s">
        <v>38</v>
      </c>
      <c r="N202" s="11" t="n">
        <v>23.2</v>
      </c>
      <c r="O202" s="11" t="n">
        <v>69.7833333333333</v>
      </c>
      <c r="P202" s="9" t="s">
        <v>39</v>
      </c>
      <c r="Q202" s="9" t="s">
        <v>40</v>
      </c>
      <c r="R202" s="9" t="s">
        <v>41</v>
      </c>
      <c r="S202" s="9" t="s">
        <v>192</v>
      </c>
      <c r="T202" s="9" t="s">
        <v>112</v>
      </c>
      <c r="U202" s="9" t="n">
        <v>11</v>
      </c>
      <c r="V202" s="9" t="n">
        <v>11</v>
      </c>
      <c r="W202" s="9" t="n">
        <v>277</v>
      </c>
      <c r="X202" s="9"/>
      <c r="Y202" s="9" t="n">
        <f aca="false">W202+X202</f>
        <v>277</v>
      </c>
      <c r="Z202" s="9"/>
      <c r="AA202" s="12" t="n">
        <f aca="false">AB202/G202</f>
        <v>0.393767705382436</v>
      </c>
      <c r="AB202" s="12" t="n">
        <v>1.39</v>
      </c>
      <c r="AC202" s="12" t="n">
        <v>0.320909090909091</v>
      </c>
      <c r="AD202" s="12" t="n">
        <f aca="false">AB202/V202</f>
        <v>0.126363636363636</v>
      </c>
    </row>
    <row r="203" customFormat="false" ht="13.8" hidden="false" customHeight="false" outlineLevel="0" collapsed="false">
      <c r="A203" s="9" t="n">
        <v>202</v>
      </c>
      <c r="B203" s="9" t="s">
        <v>30</v>
      </c>
      <c r="C203" s="9" t="s">
        <v>92</v>
      </c>
      <c r="D203" s="9" t="s">
        <v>396</v>
      </c>
      <c r="E203" s="9" t="s">
        <v>391</v>
      </c>
      <c r="F203" s="9" t="s">
        <v>392</v>
      </c>
      <c r="G203" s="9" t="n">
        <v>3.65</v>
      </c>
      <c r="H203" s="9" t="s">
        <v>36</v>
      </c>
      <c r="I203" s="9"/>
      <c r="J203" s="9"/>
      <c r="K203" s="9" t="s">
        <v>393</v>
      </c>
      <c r="L203" s="0" t="n">
        <v>2008</v>
      </c>
      <c r="M203" s="9" t="s">
        <v>38</v>
      </c>
      <c r="N203" s="11" t="n">
        <v>23.2</v>
      </c>
      <c r="O203" s="11" t="n">
        <v>69.7833333333333</v>
      </c>
      <c r="P203" s="9" t="s">
        <v>39</v>
      </c>
      <c r="Q203" s="9" t="s">
        <v>40</v>
      </c>
      <c r="R203" s="9" t="s">
        <v>41</v>
      </c>
      <c r="S203" s="9" t="s">
        <v>192</v>
      </c>
      <c r="T203" s="9" t="s">
        <v>112</v>
      </c>
      <c r="U203" s="9" t="n">
        <v>11</v>
      </c>
      <c r="V203" s="9" t="n">
        <v>11</v>
      </c>
      <c r="W203" s="9" t="n">
        <v>277</v>
      </c>
      <c r="X203" s="9"/>
      <c r="Y203" s="9" t="n">
        <f aca="false">W203+X203</f>
        <v>277</v>
      </c>
      <c r="Z203" s="9"/>
      <c r="AA203" s="12" t="n">
        <f aca="false">AB203/G203</f>
        <v>0.334246575342466</v>
      </c>
      <c r="AB203" s="12" t="n">
        <v>1.22</v>
      </c>
      <c r="AC203" s="12" t="n">
        <v>0.331818181818182</v>
      </c>
      <c r="AD203" s="12" t="n">
        <f aca="false">AB203/V203</f>
        <v>0.110909090909091</v>
      </c>
    </row>
    <row r="204" customFormat="false" ht="13.8" hidden="false" customHeight="false" outlineLevel="0" collapsed="false">
      <c r="A204" s="9" t="n">
        <v>203</v>
      </c>
      <c r="B204" s="9" t="s">
        <v>30</v>
      </c>
      <c r="C204" s="9" t="s">
        <v>47</v>
      </c>
      <c r="D204" s="9" t="s">
        <v>397</v>
      </c>
      <c r="E204" s="9" t="s">
        <v>398</v>
      </c>
      <c r="F204" s="9" t="s">
        <v>399</v>
      </c>
      <c r="G204" s="9" t="n">
        <v>25.2</v>
      </c>
      <c r="H204" s="9" t="s">
        <v>230</v>
      </c>
      <c r="I204" s="9" t="n">
        <f aca="false">G204*0.47</f>
        <v>11.844</v>
      </c>
      <c r="J204" s="9"/>
      <c r="K204" s="9" t="s">
        <v>400</v>
      </c>
      <c r="L204" s="0" t="n">
        <v>2009</v>
      </c>
      <c r="M204" s="9" t="s">
        <v>38</v>
      </c>
      <c r="N204" s="11" t="n">
        <v>41.3333333</v>
      </c>
      <c r="O204" s="11" t="n">
        <v>119.666666666666</v>
      </c>
      <c r="P204" s="9" t="s">
        <v>97</v>
      </c>
      <c r="Q204" s="9" t="s">
        <v>98</v>
      </c>
      <c r="R204" s="9" t="s">
        <v>99</v>
      </c>
      <c r="S204" s="9" t="s">
        <v>401</v>
      </c>
      <c r="T204" s="9" t="s">
        <v>112</v>
      </c>
      <c r="U204" s="9" t="n">
        <v>4</v>
      </c>
      <c r="V204" s="9" t="n">
        <v>4</v>
      </c>
      <c r="W204" s="9" t="n">
        <v>833</v>
      </c>
      <c r="X204" s="9"/>
      <c r="Y204" s="9" t="n">
        <f aca="false">W204+X204</f>
        <v>833</v>
      </c>
      <c r="Z204" s="9"/>
      <c r="AA204" s="12" t="n">
        <v>0.26</v>
      </c>
      <c r="AB204" s="12"/>
      <c r="AC204" s="12" t="n">
        <f aca="false">I204/V204</f>
        <v>2.961</v>
      </c>
      <c r="AD204" s="12" t="n">
        <f aca="false">(I204/V204)*AA204</f>
        <v>0.76986</v>
      </c>
    </row>
    <row r="205" customFormat="false" ht="13.8" hidden="false" customHeight="false" outlineLevel="0" collapsed="false">
      <c r="A205" s="9" t="n">
        <v>204</v>
      </c>
      <c r="B205" s="9" t="s">
        <v>30</v>
      </c>
      <c r="C205" s="9" t="s">
        <v>47</v>
      </c>
      <c r="D205" s="9" t="s">
        <v>402</v>
      </c>
      <c r="E205" s="9" t="s">
        <v>398</v>
      </c>
      <c r="F205" s="9" t="s">
        <v>399</v>
      </c>
      <c r="G205" s="9" t="n">
        <v>25.4</v>
      </c>
      <c r="H205" s="9" t="s">
        <v>230</v>
      </c>
      <c r="I205" s="9" t="n">
        <f aca="false">G205*0.47</f>
        <v>11.938</v>
      </c>
      <c r="J205" s="9"/>
      <c r="K205" s="9" t="s">
        <v>400</v>
      </c>
      <c r="L205" s="0" t="n">
        <v>2009</v>
      </c>
      <c r="M205" s="9" t="s">
        <v>38</v>
      </c>
      <c r="N205" s="11" t="n">
        <v>41.3333333</v>
      </c>
      <c r="O205" s="11" t="n">
        <v>119.666666666666</v>
      </c>
      <c r="P205" s="9" t="s">
        <v>97</v>
      </c>
      <c r="Q205" s="9" t="s">
        <v>98</v>
      </c>
      <c r="R205" s="9" t="s">
        <v>99</v>
      </c>
      <c r="S205" s="9" t="s">
        <v>401</v>
      </c>
      <c r="T205" s="9" t="s">
        <v>112</v>
      </c>
      <c r="U205" s="9" t="n">
        <v>4</v>
      </c>
      <c r="V205" s="9" t="n">
        <v>4</v>
      </c>
      <c r="W205" s="9" t="n">
        <v>833</v>
      </c>
      <c r="X205" s="9"/>
      <c r="Y205" s="9" t="n">
        <f aca="false">W205+X205</f>
        <v>833</v>
      </c>
      <c r="Z205" s="9"/>
      <c r="AA205" s="12" t="n">
        <v>0.26</v>
      </c>
      <c r="AB205" s="12"/>
      <c r="AC205" s="12" t="n">
        <f aca="false">I205/V205</f>
        <v>2.9845</v>
      </c>
      <c r="AD205" s="12" t="n">
        <f aca="false">(I205/V205)*AA205</f>
        <v>0.77597</v>
      </c>
    </row>
    <row r="206" customFormat="false" ht="13.8" hidden="false" customHeight="false" outlineLevel="0" collapsed="false">
      <c r="A206" s="9" t="n">
        <v>205</v>
      </c>
      <c r="B206" s="9" t="s">
        <v>30</v>
      </c>
      <c r="C206" s="9" t="s">
        <v>60</v>
      </c>
      <c r="D206" s="9" t="s">
        <v>403</v>
      </c>
      <c r="E206" s="9" t="s">
        <v>404</v>
      </c>
      <c r="F206" s="9" t="s">
        <v>405</v>
      </c>
      <c r="G206" s="9" t="n">
        <f aca="false">15.9+5.1</f>
        <v>21</v>
      </c>
      <c r="H206" s="9" t="s">
        <v>230</v>
      </c>
      <c r="I206" s="9" t="n">
        <f aca="false">G206*0.47</f>
        <v>9.87</v>
      </c>
      <c r="J206" s="9" t="s">
        <v>36</v>
      </c>
      <c r="K206" s="9" t="s">
        <v>406</v>
      </c>
      <c r="L206" s="0" t="n">
        <v>1984.5</v>
      </c>
      <c r="M206" s="9" t="s">
        <v>38</v>
      </c>
      <c r="N206" s="11" t="s">
        <v>407</v>
      </c>
      <c r="O206" s="11" t="s">
        <v>408</v>
      </c>
      <c r="P206" s="9" t="s">
        <v>39</v>
      </c>
      <c r="Q206" s="9" t="s">
        <v>40</v>
      </c>
      <c r="R206" s="9" t="s">
        <v>41</v>
      </c>
      <c r="S206" s="9" t="s">
        <v>192</v>
      </c>
      <c r="T206" s="9" t="s">
        <v>112</v>
      </c>
      <c r="U206" s="9" t="n">
        <v>6</v>
      </c>
      <c r="V206" s="9" t="n">
        <v>6</v>
      </c>
      <c r="W206" s="16" t="n">
        <f aca="false">(100/0.25)*(100/3.75)</f>
        <v>10666.6666666667</v>
      </c>
      <c r="X206" s="9"/>
      <c r="Y206" s="9" t="n">
        <f aca="false">W206+X206</f>
        <v>10666.6666666667</v>
      </c>
      <c r="Z206" s="9"/>
      <c r="AA206" s="12" t="n">
        <v>0.24</v>
      </c>
      <c r="AB206" s="12"/>
      <c r="AC206" s="12" t="n">
        <f aca="false">I206/V206</f>
        <v>1.645</v>
      </c>
      <c r="AD206" s="12" t="n">
        <f aca="false">(I206/V206)*AA206</f>
        <v>0.3948</v>
      </c>
    </row>
    <row r="207" customFormat="false" ht="13.8" hidden="false" customHeight="false" outlineLevel="0" collapsed="false">
      <c r="A207" s="9" t="n">
        <v>206</v>
      </c>
      <c r="B207" s="9" t="s">
        <v>30</v>
      </c>
      <c r="C207" s="9" t="s">
        <v>60</v>
      </c>
      <c r="D207" s="9" t="s">
        <v>409</v>
      </c>
      <c r="E207" s="9" t="s">
        <v>404</v>
      </c>
      <c r="F207" s="9" t="s">
        <v>410</v>
      </c>
      <c r="G207" s="9" t="n">
        <f aca="false">18.7+6</f>
        <v>24.7</v>
      </c>
      <c r="H207" s="9" t="s">
        <v>230</v>
      </c>
      <c r="I207" s="9" t="n">
        <f aca="false">G207*0.47</f>
        <v>11.609</v>
      </c>
      <c r="J207" s="9" t="s">
        <v>36</v>
      </c>
      <c r="K207" s="9" t="s">
        <v>406</v>
      </c>
      <c r="L207" s="0" t="n">
        <v>1984.5</v>
      </c>
      <c r="M207" s="9" t="s">
        <v>38</v>
      </c>
      <c r="N207" s="11" t="s">
        <v>407</v>
      </c>
      <c r="O207" s="11" t="s">
        <v>408</v>
      </c>
      <c r="P207" s="9" t="s">
        <v>39</v>
      </c>
      <c r="Q207" s="9" t="s">
        <v>40</v>
      </c>
      <c r="R207" s="9" t="s">
        <v>41</v>
      </c>
      <c r="S207" s="9" t="s">
        <v>192</v>
      </c>
      <c r="T207" s="9" t="s">
        <v>112</v>
      </c>
      <c r="U207" s="9" t="n">
        <v>6</v>
      </c>
      <c r="V207" s="9" t="n">
        <v>6</v>
      </c>
      <c r="W207" s="16" t="n">
        <f aca="false">(100/0.25)*(100/3.75)</f>
        <v>10666.6666666667</v>
      </c>
      <c r="X207" s="9"/>
      <c r="Y207" s="9" t="n">
        <f aca="false">W207+X207</f>
        <v>10666.6666666667</v>
      </c>
      <c r="Z207" s="9"/>
      <c r="AA207" s="12" t="n">
        <v>0.24</v>
      </c>
      <c r="AB207" s="12"/>
      <c r="AC207" s="12" t="n">
        <f aca="false">I207/V207</f>
        <v>1.93483333333333</v>
      </c>
      <c r="AD207" s="12" t="n">
        <f aca="false">(I207/V207)*AA207</f>
        <v>0.46436</v>
      </c>
    </row>
    <row r="208" customFormat="false" ht="13.8" hidden="false" customHeight="false" outlineLevel="0" collapsed="false">
      <c r="A208" s="9" t="n">
        <v>207</v>
      </c>
      <c r="B208" s="9" t="s">
        <v>30</v>
      </c>
      <c r="C208" s="9" t="s">
        <v>60</v>
      </c>
      <c r="D208" s="9" t="s">
        <v>411</v>
      </c>
      <c r="E208" s="9" t="s">
        <v>404</v>
      </c>
      <c r="F208" s="9" t="s">
        <v>412</v>
      </c>
      <c r="G208" s="9" t="n">
        <f aca="false">14.8+5</f>
        <v>19.8</v>
      </c>
      <c r="H208" s="9" t="s">
        <v>230</v>
      </c>
      <c r="I208" s="9" t="n">
        <f aca="false">G208*0.47</f>
        <v>9.306</v>
      </c>
      <c r="J208" s="9" t="s">
        <v>36</v>
      </c>
      <c r="K208" s="9" t="s">
        <v>406</v>
      </c>
      <c r="L208" s="0" t="n">
        <v>1984.5</v>
      </c>
      <c r="M208" s="9" t="s">
        <v>38</v>
      </c>
      <c r="N208" s="11" t="s">
        <v>407</v>
      </c>
      <c r="O208" s="11" t="s">
        <v>408</v>
      </c>
      <c r="P208" s="9" t="s">
        <v>39</v>
      </c>
      <c r="Q208" s="9" t="s">
        <v>40</v>
      </c>
      <c r="R208" s="9" t="s">
        <v>41</v>
      </c>
      <c r="S208" s="9" t="s">
        <v>192</v>
      </c>
      <c r="T208" s="9" t="s">
        <v>112</v>
      </c>
      <c r="U208" s="9" t="n">
        <v>6</v>
      </c>
      <c r="V208" s="9" t="n">
        <v>6</v>
      </c>
      <c r="W208" s="16" t="n">
        <f aca="false">(100/0.25)*(100/3.75)</f>
        <v>10666.6666666667</v>
      </c>
      <c r="X208" s="9"/>
      <c r="Y208" s="9" t="n">
        <f aca="false">W208+X208</f>
        <v>10666.6666666667</v>
      </c>
      <c r="Z208" s="9"/>
      <c r="AA208" s="12" t="n">
        <v>0.24</v>
      </c>
      <c r="AB208" s="12"/>
      <c r="AC208" s="12" t="n">
        <f aca="false">I208/V208</f>
        <v>1.551</v>
      </c>
      <c r="AD208" s="12" t="n">
        <f aca="false">(I208/V208)*AA208</f>
        <v>0.37224</v>
      </c>
    </row>
    <row r="209" customFormat="false" ht="13.8" hidden="false" customHeight="false" outlineLevel="0" collapsed="false">
      <c r="A209" s="9" t="n">
        <v>208</v>
      </c>
      <c r="B209" s="9" t="s">
        <v>91</v>
      </c>
      <c r="C209" s="9" t="s">
        <v>115</v>
      </c>
      <c r="D209" s="9" t="s">
        <v>413</v>
      </c>
      <c r="E209" s="9" t="s">
        <v>414</v>
      </c>
      <c r="F209" s="9"/>
      <c r="G209" s="9" t="n">
        <v>76</v>
      </c>
      <c r="H209" s="9" t="s">
        <v>36</v>
      </c>
      <c r="I209" s="9"/>
      <c r="J209" s="9"/>
      <c r="K209" s="9" t="s">
        <v>415</v>
      </c>
      <c r="L209" s="0" t="n">
        <v>2012</v>
      </c>
      <c r="M209" s="9" t="s">
        <v>52</v>
      </c>
      <c r="N209" s="11" t="n">
        <v>5.840556</v>
      </c>
      <c r="O209" s="11" t="n">
        <v>38.05056</v>
      </c>
      <c r="P209" s="9" t="s">
        <v>39</v>
      </c>
      <c r="Q209" s="9" t="s">
        <v>40</v>
      </c>
      <c r="R209" s="9" t="s">
        <v>41</v>
      </c>
      <c r="S209" s="9" t="s">
        <v>416</v>
      </c>
      <c r="T209" s="9" t="s">
        <v>43</v>
      </c>
      <c r="U209" s="9" t="n">
        <v>50</v>
      </c>
      <c r="V209" s="9" t="n">
        <v>50</v>
      </c>
      <c r="W209" s="9" t="n">
        <f aca="false">80+30+110+225</f>
        <v>445</v>
      </c>
      <c r="X209" s="9" t="n">
        <v>3750</v>
      </c>
      <c r="Y209" s="9" t="n">
        <f aca="false">W209+X209</f>
        <v>4195</v>
      </c>
      <c r="Z209" s="9"/>
      <c r="AA209" s="12" t="n">
        <v>0.28</v>
      </c>
      <c r="AB209" s="12"/>
      <c r="AC209" s="12" t="n">
        <f aca="false">(G209/(1+AA209))/U209</f>
        <v>1.1875</v>
      </c>
      <c r="AD209" s="12" t="n">
        <f aca="false">AC209*AA209</f>
        <v>0.3325</v>
      </c>
    </row>
    <row r="210" customFormat="false" ht="13.8" hidden="false" customHeight="false" outlineLevel="0" collapsed="false">
      <c r="A210" s="9" t="n">
        <v>209</v>
      </c>
      <c r="B210" s="9" t="s">
        <v>91</v>
      </c>
      <c r="C210" s="9" t="s">
        <v>115</v>
      </c>
      <c r="D210" s="9" t="s">
        <v>417</v>
      </c>
      <c r="E210" s="9" t="s">
        <v>414</v>
      </c>
      <c r="F210" s="9"/>
      <c r="G210" s="9" t="n">
        <v>114</v>
      </c>
      <c r="H210" s="9" t="s">
        <v>36</v>
      </c>
      <c r="I210" s="9"/>
      <c r="J210" s="9"/>
      <c r="K210" s="9" t="s">
        <v>415</v>
      </c>
      <c r="L210" s="0" t="n">
        <v>2012</v>
      </c>
      <c r="M210" s="9" t="s">
        <v>52</v>
      </c>
      <c r="N210" s="11" t="n">
        <v>5.840556</v>
      </c>
      <c r="O210" s="11" t="n">
        <v>38.05056</v>
      </c>
      <c r="P210" s="9" t="s">
        <v>39</v>
      </c>
      <c r="Q210" s="9" t="s">
        <v>40</v>
      </c>
      <c r="R210" s="9" t="s">
        <v>41</v>
      </c>
      <c r="S210" s="9" t="s">
        <v>416</v>
      </c>
      <c r="T210" s="9" t="s">
        <v>43</v>
      </c>
      <c r="U210" s="9" t="n">
        <v>50</v>
      </c>
      <c r="V210" s="9" t="n">
        <v>50</v>
      </c>
      <c r="W210" s="9" t="n">
        <f aca="false">90+170</f>
        <v>260</v>
      </c>
      <c r="X210" s="9" t="n">
        <f aca="false">1535+955</f>
        <v>2490</v>
      </c>
      <c r="Y210" s="9" t="n">
        <f aca="false">W210+X210</f>
        <v>2750</v>
      </c>
      <c r="Z210" s="9"/>
      <c r="AA210" s="12" t="n">
        <v>0.28</v>
      </c>
      <c r="AB210" s="12"/>
      <c r="AC210" s="12" t="n">
        <f aca="false">(G210/(1+AA210))/U210</f>
        <v>1.78125</v>
      </c>
      <c r="AD210" s="12" t="n">
        <f aca="false">AC210*AA210</f>
        <v>0.49875</v>
      </c>
    </row>
    <row r="211" customFormat="false" ht="13.8" hidden="false" customHeight="false" outlineLevel="0" collapsed="false">
      <c r="A211" s="9" t="n">
        <v>210</v>
      </c>
      <c r="B211" s="9" t="s">
        <v>91</v>
      </c>
      <c r="C211" s="9" t="s">
        <v>115</v>
      </c>
      <c r="D211" s="9" t="s">
        <v>418</v>
      </c>
      <c r="E211" s="9" t="s">
        <v>414</v>
      </c>
      <c r="F211" s="9"/>
      <c r="G211" s="9" t="n">
        <v>122</v>
      </c>
      <c r="H211" s="9" t="s">
        <v>36</v>
      </c>
      <c r="I211" s="9"/>
      <c r="J211" s="9"/>
      <c r="K211" s="9" t="s">
        <v>415</v>
      </c>
      <c r="L211" s="0" t="n">
        <v>2012</v>
      </c>
      <c r="M211" s="9" t="s">
        <v>52</v>
      </c>
      <c r="N211" s="11" t="n">
        <v>5.840556</v>
      </c>
      <c r="O211" s="11" t="n">
        <v>38.05056</v>
      </c>
      <c r="P211" s="9" t="s">
        <v>39</v>
      </c>
      <c r="Q211" s="9" t="s">
        <v>40</v>
      </c>
      <c r="R211" s="9" t="s">
        <v>41</v>
      </c>
      <c r="S211" s="9" t="s">
        <v>416</v>
      </c>
      <c r="T211" s="9" t="s">
        <v>43</v>
      </c>
      <c r="U211" s="9" t="n">
        <v>50</v>
      </c>
      <c r="V211" s="9" t="n">
        <v>50</v>
      </c>
      <c r="W211" s="9" t="n">
        <v>140</v>
      </c>
      <c r="X211" s="9" t="n">
        <f aca="false">124+135+970</f>
        <v>1229</v>
      </c>
      <c r="Y211" s="9" t="n">
        <f aca="false">W211+X211</f>
        <v>1369</v>
      </c>
      <c r="Z211" s="9"/>
      <c r="AA211" s="12" t="n">
        <v>0.28</v>
      </c>
      <c r="AB211" s="12"/>
      <c r="AC211" s="12" t="n">
        <f aca="false">(G211/(1+AA211))/U211</f>
        <v>1.90625</v>
      </c>
      <c r="AD211" s="12" t="n">
        <f aca="false">AC211*AA211</f>
        <v>0.53375</v>
      </c>
    </row>
    <row r="212" customFormat="false" ht="13.8" hidden="false" customHeight="false" outlineLevel="0" collapsed="false">
      <c r="A212" s="9" t="n">
        <v>211</v>
      </c>
      <c r="B212" s="9" t="s">
        <v>30</v>
      </c>
      <c r="C212" s="9" t="s">
        <v>208</v>
      </c>
      <c r="D212" s="9" t="s">
        <v>419</v>
      </c>
      <c r="E212" s="9" t="s">
        <v>420</v>
      </c>
      <c r="F212" s="9" t="s">
        <v>421</v>
      </c>
      <c r="G212" s="9" t="n">
        <f aca="false">12.5+98.1</f>
        <v>110.6</v>
      </c>
      <c r="H212" s="9" t="s">
        <v>36</v>
      </c>
      <c r="I212" s="9"/>
      <c r="J212" s="9"/>
      <c r="K212" s="9" t="s">
        <v>422</v>
      </c>
      <c r="L212" s="0" t="n">
        <v>2001</v>
      </c>
      <c r="M212" s="9" t="s">
        <v>38</v>
      </c>
      <c r="N212" s="11" t="n">
        <v>3.85</v>
      </c>
      <c r="O212" s="11" t="n">
        <v>11.45</v>
      </c>
      <c r="P212" s="9" t="s">
        <v>39</v>
      </c>
      <c r="Q212" s="9" t="s">
        <v>110</v>
      </c>
      <c r="R212" s="9" t="s">
        <v>41</v>
      </c>
      <c r="S212" s="9" t="s">
        <v>423</v>
      </c>
      <c r="T212" s="9" t="s">
        <v>43</v>
      </c>
      <c r="U212" s="9" t="n">
        <v>35</v>
      </c>
      <c r="V212" s="9" t="n">
        <v>35</v>
      </c>
      <c r="W212" s="9" t="n">
        <v>115</v>
      </c>
      <c r="X212" s="9" t="n">
        <v>1362</v>
      </c>
      <c r="Y212" s="9" t="n">
        <f aca="false">W212+X212</f>
        <v>1477</v>
      </c>
      <c r="Z212" s="9"/>
      <c r="AA212" s="12" t="n">
        <f aca="false">AB212/G212</f>
        <v>0.225135623869801</v>
      </c>
      <c r="AB212" s="12" t="n">
        <f aca="false">1.9+23</f>
        <v>24.9</v>
      </c>
      <c r="AC212" s="12" t="n">
        <f aca="false">G212/V212</f>
        <v>3.16</v>
      </c>
      <c r="AD212" s="12" t="n">
        <f aca="false">AB212/V212</f>
        <v>0.711428571428571</v>
      </c>
    </row>
    <row r="213" customFormat="false" ht="13.8" hidden="false" customHeight="false" outlineLevel="0" collapsed="false">
      <c r="A213" s="9" t="n">
        <v>212</v>
      </c>
      <c r="B213" s="9" t="s">
        <v>30</v>
      </c>
      <c r="C213" s="9" t="s">
        <v>73</v>
      </c>
      <c r="D213" s="9" t="s">
        <v>424</v>
      </c>
      <c r="E213" s="9" t="s">
        <v>425</v>
      </c>
      <c r="F213" s="9" t="s">
        <v>426</v>
      </c>
      <c r="G213" s="9" t="n">
        <v>52.8</v>
      </c>
      <c r="H213" s="9" t="s">
        <v>230</v>
      </c>
      <c r="I213" s="9" t="n">
        <f aca="false">G213*0.47</f>
        <v>24.816</v>
      </c>
      <c r="J213" s="9" t="s">
        <v>36</v>
      </c>
      <c r="K213" s="9" t="s">
        <v>427</v>
      </c>
      <c r="L213" s="0" t="n">
        <v>1996</v>
      </c>
      <c r="M213" s="9" t="s">
        <v>38</v>
      </c>
      <c r="N213" s="11" t="s">
        <v>428</v>
      </c>
      <c r="O213" s="11" t="s">
        <v>429</v>
      </c>
      <c r="P213" s="9" t="s">
        <v>39</v>
      </c>
      <c r="Q213" s="9" t="s">
        <v>260</v>
      </c>
      <c r="R213" s="9" t="s">
        <v>213</v>
      </c>
      <c r="S213" s="9" t="s">
        <v>296</v>
      </c>
      <c r="T213" s="9" t="s">
        <v>43</v>
      </c>
      <c r="U213" s="9" t="n">
        <v>5</v>
      </c>
      <c r="V213" s="9" t="n">
        <v>5</v>
      </c>
      <c r="W213" s="9" t="n">
        <v>625</v>
      </c>
      <c r="X213" s="9"/>
      <c r="Y213" s="9" t="n">
        <f aca="false">W213+X213</f>
        <v>625</v>
      </c>
      <c r="Z213" s="9"/>
      <c r="AA213" s="12" t="n">
        <v>0.24</v>
      </c>
      <c r="AB213" s="12"/>
      <c r="AC213" s="12" t="n">
        <f aca="false">I213/V213</f>
        <v>4.9632</v>
      </c>
      <c r="AD213" s="12" t="n">
        <f aca="false">(I213/V213)*AA213</f>
        <v>1.191168</v>
      </c>
    </row>
    <row r="214" customFormat="false" ht="13.8" hidden="false" customHeight="false" outlineLevel="0" collapsed="false">
      <c r="A214" s="9" t="n">
        <v>213</v>
      </c>
      <c r="B214" s="9" t="s">
        <v>30</v>
      </c>
      <c r="C214" s="9" t="s">
        <v>73</v>
      </c>
      <c r="D214" s="9" t="s">
        <v>430</v>
      </c>
      <c r="E214" s="9" t="s">
        <v>425</v>
      </c>
      <c r="F214" s="9" t="s">
        <v>426</v>
      </c>
      <c r="G214" s="9" t="n">
        <v>31.7</v>
      </c>
      <c r="H214" s="9" t="s">
        <v>230</v>
      </c>
      <c r="I214" s="9" t="n">
        <f aca="false">G214*0.47</f>
        <v>14.899</v>
      </c>
      <c r="J214" s="9" t="s">
        <v>36</v>
      </c>
      <c r="K214" s="9" t="s">
        <v>427</v>
      </c>
      <c r="L214" s="0" t="n">
        <v>1996</v>
      </c>
      <c r="M214" s="9" t="s">
        <v>38</v>
      </c>
      <c r="N214" s="11" t="s">
        <v>428</v>
      </c>
      <c r="O214" s="11" t="s">
        <v>429</v>
      </c>
      <c r="P214" s="9" t="s">
        <v>39</v>
      </c>
      <c r="Q214" s="9" t="s">
        <v>260</v>
      </c>
      <c r="R214" s="9" t="s">
        <v>213</v>
      </c>
      <c r="S214" s="9" t="s">
        <v>296</v>
      </c>
      <c r="T214" s="9" t="s">
        <v>43</v>
      </c>
      <c r="U214" s="9" t="n">
        <v>5</v>
      </c>
      <c r="V214" s="9" t="n">
        <v>5</v>
      </c>
      <c r="W214" s="9" t="n">
        <v>625</v>
      </c>
      <c r="X214" s="9"/>
      <c r="Y214" s="9" t="n">
        <f aca="false">W214+X214</f>
        <v>625</v>
      </c>
      <c r="Z214" s="9"/>
      <c r="AA214" s="12" t="n">
        <v>0.24</v>
      </c>
      <c r="AB214" s="12"/>
      <c r="AC214" s="12" t="n">
        <f aca="false">I214/V214</f>
        <v>2.9798</v>
      </c>
      <c r="AD214" s="12" t="n">
        <f aca="false">(I214/V214)*AA214</f>
        <v>0.715152</v>
      </c>
    </row>
    <row r="215" customFormat="false" ht="13.8" hidden="false" customHeight="false" outlineLevel="0" collapsed="false">
      <c r="A215" s="9" t="n">
        <v>214</v>
      </c>
      <c r="B215" s="9" t="s">
        <v>30</v>
      </c>
      <c r="C215" s="9" t="s">
        <v>73</v>
      </c>
      <c r="D215" s="9" t="s">
        <v>431</v>
      </c>
      <c r="E215" s="9" t="s">
        <v>425</v>
      </c>
      <c r="F215" s="9" t="s">
        <v>426</v>
      </c>
      <c r="G215" s="9" t="n">
        <v>57.6</v>
      </c>
      <c r="H215" s="9" t="s">
        <v>230</v>
      </c>
      <c r="I215" s="9" t="n">
        <f aca="false">G215*0.47</f>
        <v>27.072</v>
      </c>
      <c r="J215" s="9" t="s">
        <v>36</v>
      </c>
      <c r="K215" s="9" t="s">
        <v>427</v>
      </c>
      <c r="L215" s="0" t="n">
        <v>1996</v>
      </c>
      <c r="M215" s="9" t="s">
        <v>38</v>
      </c>
      <c r="N215" s="11" t="s">
        <v>428</v>
      </c>
      <c r="O215" s="11" t="s">
        <v>429</v>
      </c>
      <c r="P215" s="9" t="s">
        <v>39</v>
      </c>
      <c r="Q215" s="9" t="s">
        <v>260</v>
      </c>
      <c r="R215" s="9" t="s">
        <v>213</v>
      </c>
      <c r="S215" s="9" t="s">
        <v>296</v>
      </c>
      <c r="T215" s="9" t="s">
        <v>43</v>
      </c>
      <c r="U215" s="9" t="n">
        <v>5</v>
      </c>
      <c r="V215" s="9" t="n">
        <v>5</v>
      </c>
      <c r="W215" s="9" t="n">
        <v>625</v>
      </c>
      <c r="X215" s="9"/>
      <c r="Y215" s="9" t="n">
        <f aca="false">W215+X215</f>
        <v>625</v>
      </c>
      <c r="Z215" s="9"/>
      <c r="AA215" s="12" t="n">
        <v>0.24</v>
      </c>
      <c r="AB215" s="12"/>
      <c r="AC215" s="12" t="n">
        <f aca="false">I215/V215</f>
        <v>5.4144</v>
      </c>
      <c r="AD215" s="12" t="n">
        <f aca="false">(I215/V215)*AA215</f>
        <v>1.299456</v>
      </c>
    </row>
    <row r="216" customFormat="false" ht="13.8" hidden="false" customHeight="false" outlineLevel="0" collapsed="false">
      <c r="A216" s="9" t="n">
        <v>215</v>
      </c>
      <c r="B216" s="9" t="s">
        <v>30</v>
      </c>
      <c r="C216" s="9" t="s">
        <v>73</v>
      </c>
      <c r="D216" s="9" t="s">
        <v>432</v>
      </c>
      <c r="E216" s="9" t="s">
        <v>425</v>
      </c>
      <c r="F216" s="9" t="s">
        <v>426</v>
      </c>
      <c r="G216" s="9" t="n">
        <v>29.8</v>
      </c>
      <c r="H216" s="9" t="s">
        <v>230</v>
      </c>
      <c r="I216" s="9" t="n">
        <f aca="false">G216*0.47</f>
        <v>14.006</v>
      </c>
      <c r="J216" s="9" t="s">
        <v>36</v>
      </c>
      <c r="K216" s="9" t="s">
        <v>427</v>
      </c>
      <c r="L216" s="0" t="n">
        <v>1996</v>
      </c>
      <c r="M216" s="9" t="s">
        <v>38</v>
      </c>
      <c r="N216" s="11" t="s">
        <v>428</v>
      </c>
      <c r="O216" s="11" t="s">
        <v>429</v>
      </c>
      <c r="P216" s="9" t="s">
        <v>39</v>
      </c>
      <c r="Q216" s="9" t="s">
        <v>260</v>
      </c>
      <c r="R216" s="9" t="s">
        <v>213</v>
      </c>
      <c r="S216" s="9" t="s">
        <v>296</v>
      </c>
      <c r="T216" s="9" t="s">
        <v>43</v>
      </c>
      <c r="U216" s="9" t="n">
        <v>5</v>
      </c>
      <c r="V216" s="9" t="n">
        <v>5</v>
      </c>
      <c r="W216" s="9" t="n">
        <v>625</v>
      </c>
      <c r="X216" s="9"/>
      <c r="Y216" s="9" t="n">
        <f aca="false">W216+X216</f>
        <v>625</v>
      </c>
      <c r="Z216" s="9"/>
      <c r="AA216" s="12" t="n">
        <v>0.24</v>
      </c>
      <c r="AB216" s="12"/>
      <c r="AC216" s="12" t="n">
        <f aca="false">I216/V216</f>
        <v>2.8012</v>
      </c>
      <c r="AD216" s="12" t="n">
        <f aca="false">(I216/V216)*AA216</f>
        <v>0.672288</v>
      </c>
    </row>
    <row r="217" customFormat="false" ht="13.8" hidden="false" customHeight="false" outlineLevel="0" collapsed="false">
      <c r="A217" s="9" t="n">
        <v>216</v>
      </c>
      <c r="B217" s="9" t="s">
        <v>30</v>
      </c>
      <c r="C217" s="9" t="s">
        <v>73</v>
      </c>
      <c r="D217" s="9" t="s">
        <v>433</v>
      </c>
      <c r="E217" s="9" t="s">
        <v>425</v>
      </c>
      <c r="F217" s="9" t="s">
        <v>426</v>
      </c>
      <c r="G217" s="9" t="n">
        <v>26</v>
      </c>
      <c r="H217" s="9" t="s">
        <v>230</v>
      </c>
      <c r="I217" s="9" t="n">
        <f aca="false">G217*0.47</f>
        <v>12.22</v>
      </c>
      <c r="J217" s="9" t="s">
        <v>36</v>
      </c>
      <c r="K217" s="9" t="s">
        <v>427</v>
      </c>
      <c r="L217" s="0" t="n">
        <v>1996</v>
      </c>
      <c r="M217" s="9" t="s">
        <v>38</v>
      </c>
      <c r="N217" s="11" t="s">
        <v>428</v>
      </c>
      <c r="O217" s="11" t="s">
        <v>429</v>
      </c>
      <c r="P217" s="9" t="s">
        <v>39</v>
      </c>
      <c r="Q217" s="9" t="s">
        <v>260</v>
      </c>
      <c r="R217" s="9" t="s">
        <v>213</v>
      </c>
      <c r="S217" s="9" t="s">
        <v>296</v>
      </c>
      <c r="T217" s="9" t="s">
        <v>43</v>
      </c>
      <c r="U217" s="9" t="n">
        <v>5</v>
      </c>
      <c r="V217" s="9" t="n">
        <v>5</v>
      </c>
      <c r="W217" s="9" t="n">
        <v>625</v>
      </c>
      <c r="X217" s="9"/>
      <c r="Y217" s="9" t="n">
        <f aca="false">W217+X217</f>
        <v>625</v>
      </c>
      <c r="Z217" s="9"/>
      <c r="AA217" s="12" t="n">
        <v>0.24</v>
      </c>
      <c r="AB217" s="12"/>
      <c r="AC217" s="12" t="n">
        <f aca="false">I217/V217</f>
        <v>2.444</v>
      </c>
      <c r="AD217" s="12" t="n">
        <f aca="false">(I217/V217)*AA217</f>
        <v>0.58656</v>
      </c>
    </row>
    <row r="218" customFormat="false" ht="13.8" hidden="false" customHeight="false" outlineLevel="0" collapsed="false">
      <c r="A218" s="9" t="n">
        <v>217</v>
      </c>
      <c r="B218" s="9" t="s">
        <v>30</v>
      </c>
      <c r="C218" s="9" t="s">
        <v>73</v>
      </c>
      <c r="D218" s="9" t="s">
        <v>434</v>
      </c>
      <c r="E218" s="9" t="s">
        <v>435</v>
      </c>
      <c r="F218" s="9" t="s">
        <v>436</v>
      </c>
      <c r="G218" s="9" t="n">
        <v>8.4</v>
      </c>
      <c r="H218" s="9" t="s">
        <v>230</v>
      </c>
      <c r="I218" s="9" t="n">
        <f aca="false">G218*0.47</f>
        <v>3.948</v>
      </c>
      <c r="J218" s="9" t="s">
        <v>36</v>
      </c>
      <c r="K218" s="9" t="s">
        <v>427</v>
      </c>
      <c r="L218" s="0" t="n">
        <v>1996</v>
      </c>
      <c r="M218" s="9" t="s">
        <v>38</v>
      </c>
      <c r="N218" s="11" t="s">
        <v>437</v>
      </c>
      <c r="O218" s="11" t="s">
        <v>438</v>
      </c>
      <c r="P218" s="9" t="s">
        <v>39</v>
      </c>
      <c r="Q218" s="9" t="s">
        <v>260</v>
      </c>
      <c r="R218" s="9" t="s">
        <v>213</v>
      </c>
      <c r="S218" s="9" t="s">
        <v>296</v>
      </c>
      <c r="T218" s="9" t="s">
        <v>43</v>
      </c>
      <c r="U218" s="9" t="n">
        <v>7</v>
      </c>
      <c r="V218" s="9" t="n">
        <v>7</v>
      </c>
      <c r="W218" s="9" t="n">
        <v>833</v>
      </c>
      <c r="X218" s="9"/>
      <c r="Y218" s="9" t="n">
        <f aca="false">W218+X218</f>
        <v>833</v>
      </c>
      <c r="Z218" s="9"/>
      <c r="AA218" s="12" t="n">
        <v>0.24</v>
      </c>
      <c r="AB218" s="12"/>
      <c r="AC218" s="12" t="n">
        <f aca="false">I218/V218</f>
        <v>0.564</v>
      </c>
      <c r="AD218" s="12" t="n">
        <f aca="false">(I218/V218)*AA218</f>
        <v>0.13536</v>
      </c>
    </row>
    <row r="219" customFormat="false" ht="13.8" hidden="false" customHeight="false" outlineLevel="0" collapsed="false">
      <c r="A219" s="9" t="n">
        <v>218</v>
      </c>
      <c r="B219" s="9" t="s">
        <v>30</v>
      </c>
      <c r="C219" s="9" t="s">
        <v>73</v>
      </c>
      <c r="D219" s="9" t="s">
        <v>439</v>
      </c>
      <c r="E219" s="9" t="s">
        <v>435</v>
      </c>
      <c r="F219" s="9" t="s">
        <v>436</v>
      </c>
      <c r="G219" s="9" t="n">
        <v>70.9</v>
      </c>
      <c r="H219" s="9" t="s">
        <v>230</v>
      </c>
      <c r="I219" s="9" t="n">
        <f aca="false">G219*0.47</f>
        <v>33.323</v>
      </c>
      <c r="J219" s="9" t="s">
        <v>36</v>
      </c>
      <c r="K219" s="9" t="s">
        <v>427</v>
      </c>
      <c r="L219" s="0" t="n">
        <v>1996</v>
      </c>
      <c r="M219" s="9" t="s">
        <v>38</v>
      </c>
      <c r="N219" s="11" t="s">
        <v>437</v>
      </c>
      <c r="O219" s="11" t="s">
        <v>438</v>
      </c>
      <c r="P219" s="9" t="s">
        <v>39</v>
      </c>
      <c r="Q219" s="9" t="s">
        <v>260</v>
      </c>
      <c r="R219" s="9" t="s">
        <v>213</v>
      </c>
      <c r="S219" s="9" t="s">
        <v>296</v>
      </c>
      <c r="T219" s="9" t="s">
        <v>43</v>
      </c>
      <c r="U219" s="9" t="n">
        <v>7</v>
      </c>
      <c r="V219" s="9" t="n">
        <v>7</v>
      </c>
      <c r="W219" s="9" t="n">
        <v>833</v>
      </c>
      <c r="X219" s="9"/>
      <c r="Y219" s="9" t="n">
        <f aca="false">W219+X219</f>
        <v>833</v>
      </c>
      <c r="Z219" s="9"/>
      <c r="AA219" s="12" t="n">
        <v>0.24</v>
      </c>
      <c r="AB219" s="12"/>
      <c r="AC219" s="12" t="n">
        <f aca="false">I219/V219</f>
        <v>4.76042857142857</v>
      </c>
      <c r="AD219" s="12" t="n">
        <f aca="false">(I219/V219)*AA219</f>
        <v>1.14250285714286</v>
      </c>
    </row>
    <row r="220" customFormat="false" ht="13.8" hidden="false" customHeight="false" outlineLevel="0" collapsed="false">
      <c r="A220" s="9" t="n">
        <v>219</v>
      </c>
      <c r="B220" s="9" t="s">
        <v>30</v>
      </c>
      <c r="C220" s="9" t="s">
        <v>73</v>
      </c>
      <c r="D220" s="9" t="s">
        <v>440</v>
      </c>
      <c r="E220" s="9" t="s">
        <v>435</v>
      </c>
      <c r="F220" s="9" t="s">
        <v>436</v>
      </c>
      <c r="G220" s="9" t="n">
        <v>88.9</v>
      </c>
      <c r="H220" s="9" t="s">
        <v>230</v>
      </c>
      <c r="I220" s="9" t="n">
        <f aca="false">G220*0.47</f>
        <v>41.783</v>
      </c>
      <c r="J220" s="9" t="s">
        <v>36</v>
      </c>
      <c r="K220" s="9" t="s">
        <v>427</v>
      </c>
      <c r="L220" s="0" t="n">
        <v>1996</v>
      </c>
      <c r="M220" s="9" t="s">
        <v>38</v>
      </c>
      <c r="N220" s="11" t="s">
        <v>437</v>
      </c>
      <c r="O220" s="11" t="s">
        <v>438</v>
      </c>
      <c r="P220" s="9" t="s">
        <v>39</v>
      </c>
      <c r="Q220" s="9" t="s">
        <v>260</v>
      </c>
      <c r="R220" s="9" t="s">
        <v>213</v>
      </c>
      <c r="S220" s="9" t="s">
        <v>296</v>
      </c>
      <c r="T220" s="9" t="s">
        <v>43</v>
      </c>
      <c r="U220" s="9" t="n">
        <v>7</v>
      </c>
      <c r="V220" s="9" t="n">
        <v>7</v>
      </c>
      <c r="W220" s="9" t="n">
        <v>833</v>
      </c>
      <c r="X220" s="9"/>
      <c r="Y220" s="9" t="n">
        <f aca="false">W220+X220</f>
        <v>833</v>
      </c>
      <c r="Z220" s="9"/>
      <c r="AA220" s="12" t="n">
        <v>0.24</v>
      </c>
      <c r="AB220" s="12"/>
      <c r="AC220" s="12" t="n">
        <f aca="false">I220/V220</f>
        <v>5.969</v>
      </c>
      <c r="AD220" s="12" t="n">
        <f aca="false">(I220/V220)*AA220</f>
        <v>1.43256</v>
      </c>
    </row>
    <row r="221" customFormat="false" ht="13.8" hidden="false" customHeight="false" outlineLevel="0" collapsed="false">
      <c r="A221" s="9" t="n">
        <v>220</v>
      </c>
      <c r="B221" s="9" t="s">
        <v>59</v>
      </c>
      <c r="C221" s="9" t="s">
        <v>60</v>
      </c>
      <c r="D221" s="9" t="s">
        <v>441</v>
      </c>
      <c r="E221" s="9" t="s">
        <v>442</v>
      </c>
      <c r="F221" s="9" t="s">
        <v>443</v>
      </c>
      <c r="G221" s="9" t="n">
        <f aca="false">2926.31578947368/1000</f>
        <v>2.92631578947368</v>
      </c>
      <c r="H221" s="9" t="s">
        <v>36</v>
      </c>
      <c r="I221" s="9"/>
      <c r="J221" s="9"/>
      <c r="K221" s="9" t="s">
        <v>444</v>
      </c>
      <c r="L221" s="0" t="n">
        <v>2001</v>
      </c>
      <c r="M221" s="9" t="s">
        <v>38</v>
      </c>
      <c r="N221" s="11" t="s">
        <v>445</v>
      </c>
      <c r="O221" s="11" t="s">
        <v>446</v>
      </c>
      <c r="P221" s="9" t="s">
        <v>39</v>
      </c>
      <c r="Q221" s="9" t="s">
        <v>110</v>
      </c>
      <c r="R221" s="9" t="s">
        <v>41</v>
      </c>
      <c r="S221" s="9" t="s">
        <v>447</v>
      </c>
      <c r="T221" s="9" t="s">
        <v>233</v>
      </c>
      <c r="U221" s="9" t="n">
        <v>19</v>
      </c>
      <c r="V221" s="9" t="n">
        <v>1</v>
      </c>
      <c r="W221" s="9" t="n">
        <v>555</v>
      </c>
      <c r="X221" s="9"/>
      <c r="Y221" s="9" t="n">
        <f aca="false">W221+X221</f>
        <v>555</v>
      </c>
      <c r="Z221" s="9"/>
      <c r="AA221" s="12" t="n">
        <v>0.24</v>
      </c>
      <c r="AB221" s="12"/>
      <c r="AC221" s="12" t="n">
        <f aca="false">G221/V221</f>
        <v>2.92631578947368</v>
      </c>
      <c r="AD221" s="12" t="n">
        <f aca="false">(G221/V221)*AA221</f>
        <v>0.702315789473683</v>
      </c>
    </row>
    <row r="222" customFormat="false" ht="13.8" hidden="false" customHeight="false" outlineLevel="0" collapsed="false">
      <c r="A222" s="9" t="n">
        <v>221</v>
      </c>
      <c r="B222" s="9" t="s">
        <v>59</v>
      </c>
      <c r="C222" s="9" t="s">
        <v>60</v>
      </c>
      <c r="D222" s="9" t="s">
        <v>448</v>
      </c>
      <c r="E222" s="9" t="s">
        <v>442</v>
      </c>
      <c r="F222" s="9" t="s">
        <v>443</v>
      </c>
      <c r="G222" s="9" t="n">
        <f aca="false">3989.47368421052/1000</f>
        <v>3.98947368421052</v>
      </c>
      <c r="H222" s="9" t="s">
        <v>36</v>
      </c>
      <c r="I222" s="9"/>
      <c r="J222" s="9"/>
      <c r="K222" s="9" t="s">
        <v>444</v>
      </c>
      <c r="L222" s="0" t="n">
        <v>2001</v>
      </c>
      <c r="M222" s="9" t="s">
        <v>38</v>
      </c>
      <c r="N222" s="11" t="s">
        <v>445</v>
      </c>
      <c r="O222" s="11" t="s">
        <v>446</v>
      </c>
      <c r="P222" s="9" t="s">
        <v>39</v>
      </c>
      <c r="Q222" s="9" t="s">
        <v>110</v>
      </c>
      <c r="R222" s="9" t="s">
        <v>41</v>
      </c>
      <c r="S222" s="9" t="s">
        <v>447</v>
      </c>
      <c r="T222" s="9" t="s">
        <v>233</v>
      </c>
      <c r="U222" s="9" t="n">
        <v>19</v>
      </c>
      <c r="V222" s="9" t="n">
        <v>1</v>
      </c>
      <c r="W222" s="9" t="n">
        <v>555</v>
      </c>
      <c r="X222" s="9"/>
      <c r="Y222" s="9" t="n">
        <f aca="false">W222+X222</f>
        <v>555</v>
      </c>
      <c r="Z222" s="9"/>
      <c r="AA222" s="12" t="n">
        <v>0.24</v>
      </c>
      <c r="AB222" s="12"/>
      <c r="AC222" s="12" t="n">
        <f aca="false">G222/V222</f>
        <v>3.98947368421052</v>
      </c>
      <c r="AD222" s="12" t="n">
        <f aca="false">(G222/V222)*AA222</f>
        <v>0.957473684210525</v>
      </c>
    </row>
    <row r="223" customFormat="false" ht="13.8" hidden="false" customHeight="false" outlineLevel="0" collapsed="false">
      <c r="A223" s="9" t="n">
        <v>222</v>
      </c>
      <c r="B223" s="9" t="s">
        <v>59</v>
      </c>
      <c r="C223" s="9" t="s">
        <v>60</v>
      </c>
      <c r="D223" s="9" t="s">
        <v>449</v>
      </c>
      <c r="E223" s="9" t="s">
        <v>442</v>
      </c>
      <c r="F223" s="9" t="s">
        <v>443</v>
      </c>
      <c r="G223" s="9" t="n">
        <f aca="false">4536.84210526315/1000</f>
        <v>4.53684210526315</v>
      </c>
      <c r="H223" s="9" t="s">
        <v>36</v>
      </c>
      <c r="I223" s="9"/>
      <c r="J223" s="9"/>
      <c r="K223" s="9" t="s">
        <v>444</v>
      </c>
      <c r="L223" s="0" t="n">
        <v>2001</v>
      </c>
      <c r="M223" s="9" t="s">
        <v>38</v>
      </c>
      <c r="N223" s="11" t="s">
        <v>445</v>
      </c>
      <c r="O223" s="11" t="s">
        <v>446</v>
      </c>
      <c r="P223" s="9" t="s">
        <v>39</v>
      </c>
      <c r="Q223" s="9" t="s">
        <v>110</v>
      </c>
      <c r="R223" s="9" t="s">
        <v>41</v>
      </c>
      <c r="S223" s="9" t="s">
        <v>447</v>
      </c>
      <c r="T223" s="9" t="s">
        <v>233</v>
      </c>
      <c r="U223" s="9" t="n">
        <v>19</v>
      </c>
      <c r="V223" s="9" t="n">
        <v>1</v>
      </c>
      <c r="W223" s="9" t="n">
        <v>3333</v>
      </c>
      <c r="X223" s="9"/>
      <c r="Y223" s="9" t="n">
        <f aca="false">W223+X223</f>
        <v>3333</v>
      </c>
      <c r="Z223" s="9"/>
      <c r="AA223" s="12" t="n">
        <v>0.24</v>
      </c>
      <c r="AB223" s="12"/>
      <c r="AC223" s="12" t="n">
        <f aca="false">G223/V223</f>
        <v>4.53684210526315</v>
      </c>
      <c r="AD223" s="12" t="n">
        <f aca="false">(G223/V223)*AA223</f>
        <v>1.08884210526316</v>
      </c>
    </row>
    <row r="224" customFormat="false" ht="13.8" hidden="false" customHeight="false" outlineLevel="0" collapsed="false">
      <c r="A224" s="9" t="n">
        <v>223</v>
      </c>
      <c r="B224" s="9" t="s">
        <v>59</v>
      </c>
      <c r="C224" s="9" t="s">
        <v>60</v>
      </c>
      <c r="D224" s="9" t="s">
        <v>450</v>
      </c>
      <c r="E224" s="9" t="s">
        <v>442</v>
      </c>
      <c r="F224" s="9" t="s">
        <v>443</v>
      </c>
      <c r="G224" s="9" t="n">
        <f aca="false">4568.42105263157/1000</f>
        <v>4.56842105263157</v>
      </c>
      <c r="H224" s="9" t="s">
        <v>36</v>
      </c>
      <c r="I224" s="9"/>
      <c r="J224" s="9"/>
      <c r="K224" s="9" t="s">
        <v>444</v>
      </c>
      <c r="L224" s="0" t="n">
        <v>2001</v>
      </c>
      <c r="M224" s="9" t="s">
        <v>38</v>
      </c>
      <c r="N224" s="11" t="s">
        <v>445</v>
      </c>
      <c r="O224" s="11" t="s">
        <v>446</v>
      </c>
      <c r="P224" s="9" t="s">
        <v>39</v>
      </c>
      <c r="Q224" s="9" t="s">
        <v>110</v>
      </c>
      <c r="R224" s="9" t="s">
        <v>41</v>
      </c>
      <c r="S224" s="9" t="s">
        <v>447</v>
      </c>
      <c r="T224" s="9" t="s">
        <v>233</v>
      </c>
      <c r="U224" s="9" t="n">
        <v>19</v>
      </c>
      <c r="V224" s="9" t="n">
        <v>1</v>
      </c>
      <c r="W224" s="9" t="n">
        <v>3333</v>
      </c>
      <c r="X224" s="9"/>
      <c r="Y224" s="9" t="n">
        <f aca="false">W224+X224</f>
        <v>3333</v>
      </c>
      <c r="Z224" s="9"/>
      <c r="AA224" s="12" t="n">
        <v>0.24</v>
      </c>
      <c r="AB224" s="12"/>
      <c r="AC224" s="12" t="n">
        <f aca="false">G224/V224</f>
        <v>4.56842105263157</v>
      </c>
      <c r="AD224" s="12" t="n">
        <f aca="false">(G224/V224)*AA224</f>
        <v>1.09642105263158</v>
      </c>
    </row>
    <row r="225" customFormat="false" ht="13.8" hidden="false" customHeight="false" outlineLevel="0" collapsed="false">
      <c r="A225" s="9" t="n">
        <v>224</v>
      </c>
      <c r="B225" s="9" t="s">
        <v>59</v>
      </c>
      <c r="C225" s="9" t="s">
        <v>60</v>
      </c>
      <c r="D225" s="9" t="s">
        <v>451</v>
      </c>
      <c r="E225" s="9" t="s">
        <v>442</v>
      </c>
      <c r="F225" s="9" t="s">
        <v>443</v>
      </c>
      <c r="G225" s="9" t="n">
        <f aca="false">2129.72972972973/1000</f>
        <v>2.12972972972973</v>
      </c>
      <c r="H225" s="9" t="s">
        <v>36</v>
      </c>
      <c r="I225" s="9"/>
      <c r="J225" s="9"/>
      <c r="K225" s="9" t="s">
        <v>444</v>
      </c>
      <c r="L225" s="0" t="n">
        <v>2001</v>
      </c>
      <c r="M225" s="9" t="s">
        <v>38</v>
      </c>
      <c r="N225" s="11" t="s">
        <v>445</v>
      </c>
      <c r="O225" s="11" t="s">
        <v>446</v>
      </c>
      <c r="P225" s="9" t="s">
        <v>39</v>
      </c>
      <c r="Q225" s="9" t="s">
        <v>110</v>
      </c>
      <c r="R225" s="9" t="s">
        <v>41</v>
      </c>
      <c r="S225" s="9" t="s">
        <v>447</v>
      </c>
      <c r="T225" s="9" t="s">
        <v>233</v>
      </c>
      <c r="U225" s="9" t="n">
        <v>10</v>
      </c>
      <c r="V225" s="9" t="n">
        <v>1</v>
      </c>
      <c r="W225" s="9" t="n">
        <v>833</v>
      </c>
      <c r="X225" s="9"/>
      <c r="Y225" s="9" t="n">
        <f aca="false">W225+X225</f>
        <v>833</v>
      </c>
      <c r="Z225" s="9"/>
      <c r="AA225" s="12" t="n">
        <v>0.24</v>
      </c>
      <c r="AB225" s="12"/>
      <c r="AC225" s="12" t="n">
        <f aca="false">G225/V225</f>
        <v>2.12972972972973</v>
      </c>
      <c r="AD225" s="12" t="n">
        <f aca="false">(G225/V225)*AA225</f>
        <v>0.511135135135135</v>
      </c>
    </row>
    <row r="226" customFormat="false" ht="13.8" hidden="false" customHeight="false" outlineLevel="0" collapsed="false">
      <c r="A226" s="9" t="n">
        <v>225</v>
      </c>
      <c r="B226" s="9" t="s">
        <v>59</v>
      </c>
      <c r="C226" s="9" t="s">
        <v>60</v>
      </c>
      <c r="D226" s="9" t="s">
        <v>452</v>
      </c>
      <c r="E226" s="9" t="s">
        <v>442</v>
      </c>
      <c r="F226" s="9" t="s">
        <v>443</v>
      </c>
      <c r="G226" s="9" t="n">
        <f aca="false">1037.83783783783/1000</f>
        <v>1.03783783783783</v>
      </c>
      <c r="H226" s="9" t="s">
        <v>36</v>
      </c>
      <c r="I226" s="9"/>
      <c r="J226" s="9"/>
      <c r="K226" s="9" t="s">
        <v>444</v>
      </c>
      <c r="L226" s="0" t="n">
        <v>2001</v>
      </c>
      <c r="M226" s="9" t="s">
        <v>38</v>
      </c>
      <c r="N226" s="11" t="s">
        <v>445</v>
      </c>
      <c r="O226" s="11" t="s">
        <v>446</v>
      </c>
      <c r="P226" s="9" t="s">
        <v>39</v>
      </c>
      <c r="Q226" s="9" t="s">
        <v>110</v>
      </c>
      <c r="R226" s="9" t="s">
        <v>41</v>
      </c>
      <c r="S226" s="9" t="s">
        <v>447</v>
      </c>
      <c r="T226" s="9" t="s">
        <v>233</v>
      </c>
      <c r="U226" s="9" t="n">
        <v>10</v>
      </c>
      <c r="V226" s="9" t="n">
        <v>1</v>
      </c>
      <c r="W226" s="9" t="n">
        <v>833</v>
      </c>
      <c r="X226" s="9"/>
      <c r="Y226" s="9" t="n">
        <f aca="false">W226+X226</f>
        <v>833</v>
      </c>
      <c r="Z226" s="9"/>
      <c r="AA226" s="12" t="n">
        <v>0.24</v>
      </c>
      <c r="AB226" s="12"/>
      <c r="AC226" s="12" t="n">
        <f aca="false">G226/V226</f>
        <v>1.03783783783783</v>
      </c>
      <c r="AD226" s="12" t="n">
        <f aca="false">(G226/V226)*AA226</f>
        <v>0.249081081081079</v>
      </c>
    </row>
    <row r="227" customFormat="false" ht="13.8" hidden="false" customHeight="false" outlineLevel="0" collapsed="false">
      <c r="A227" s="9" t="n">
        <v>226</v>
      </c>
      <c r="B227" s="9" t="s">
        <v>59</v>
      </c>
      <c r="C227" s="9" t="s">
        <v>60</v>
      </c>
      <c r="D227" s="9" t="s">
        <v>453</v>
      </c>
      <c r="E227" s="9" t="s">
        <v>442</v>
      </c>
      <c r="F227" s="9" t="s">
        <v>443</v>
      </c>
      <c r="G227" s="9" t="n">
        <f aca="false">518.918918918918/1000</f>
        <v>0.518918918918918</v>
      </c>
      <c r="H227" s="9" t="s">
        <v>36</v>
      </c>
      <c r="I227" s="9"/>
      <c r="J227" s="9"/>
      <c r="K227" s="9" t="s">
        <v>444</v>
      </c>
      <c r="L227" s="0" t="n">
        <v>2001</v>
      </c>
      <c r="M227" s="9" t="s">
        <v>38</v>
      </c>
      <c r="N227" s="11" t="s">
        <v>445</v>
      </c>
      <c r="O227" s="11" t="s">
        <v>446</v>
      </c>
      <c r="P227" s="9" t="s">
        <v>39</v>
      </c>
      <c r="Q227" s="9" t="s">
        <v>110</v>
      </c>
      <c r="R227" s="9" t="s">
        <v>41</v>
      </c>
      <c r="S227" s="9" t="s">
        <v>447</v>
      </c>
      <c r="T227" s="9" t="s">
        <v>233</v>
      </c>
      <c r="U227" s="9" t="n">
        <v>10</v>
      </c>
      <c r="V227" s="9" t="n">
        <v>1</v>
      </c>
      <c r="W227" s="9" t="n">
        <v>833</v>
      </c>
      <c r="X227" s="9"/>
      <c r="Y227" s="9" t="n">
        <f aca="false">W227+X227</f>
        <v>833</v>
      </c>
      <c r="Z227" s="9"/>
      <c r="AA227" s="12" t="n">
        <v>0.24</v>
      </c>
      <c r="AB227" s="12"/>
      <c r="AC227" s="12" t="n">
        <f aca="false">G227/V227</f>
        <v>0.518918918918918</v>
      </c>
      <c r="AD227" s="12" t="n">
        <f aca="false">(G227/V227)*AA227</f>
        <v>0.12454054054054</v>
      </c>
    </row>
    <row r="228" customFormat="false" ht="13.8" hidden="false" customHeight="false" outlineLevel="0" collapsed="false">
      <c r="A228" s="9" t="n">
        <v>227</v>
      </c>
      <c r="B228" s="9" t="s">
        <v>59</v>
      </c>
      <c r="C228" s="9" t="s">
        <v>60</v>
      </c>
      <c r="D228" s="9" t="s">
        <v>454</v>
      </c>
      <c r="E228" s="9" t="s">
        <v>442</v>
      </c>
      <c r="F228" s="9" t="s">
        <v>443</v>
      </c>
      <c r="G228" s="9" t="n">
        <f aca="false">600/1000</f>
        <v>0.6</v>
      </c>
      <c r="H228" s="9" t="s">
        <v>36</v>
      </c>
      <c r="I228" s="9"/>
      <c r="J228" s="9"/>
      <c r="K228" s="9" t="s">
        <v>444</v>
      </c>
      <c r="L228" s="0" t="n">
        <v>2001</v>
      </c>
      <c r="M228" s="9" t="s">
        <v>38</v>
      </c>
      <c r="N228" s="11" t="s">
        <v>445</v>
      </c>
      <c r="O228" s="11" t="s">
        <v>446</v>
      </c>
      <c r="P228" s="9" t="s">
        <v>39</v>
      </c>
      <c r="Q228" s="9" t="s">
        <v>110</v>
      </c>
      <c r="R228" s="9" t="s">
        <v>41</v>
      </c>
      <c r="S228" s="9" t="s">
        <v>447</v>
      </c>
      <c r="T228" s="9" t="s">
        <v>233</v>
      </c>
      <c r="U228" s="9" t="n">
        <v>10</v>
      </c>
      <c r="V228" s="9" t="n">
        <v>1</v>
      </c>
      <c r="W228" s="9" t="n">
        <v>833</v>
      </c>
      <c r="X228" s="9"/>
      <c r="Y228" s="9" t="n">
        <f aca="false">W228+X228</f>
        <v>833</v>
      </c>
      <c r="Z228" s="9"/>
      <c r="AA228" s="12" t="n">
        <v>0.24</v>
      </c>
      <c r="AB228" s="12"/>
      <c r="AC228" s="12" t="n">
        <f aca="false">G228/V228</f>
        <v>0.6</v>
      </c>
      <c r="AD228" s="12" t="n">
        <f aca="false">(G228/V228)*AA228</f>
        <v>0.144</v>
      </c>
    </row>
    <row r="229" customFormat="false" ht="13.8" hidden="false" customHeight="false" outlineLevel="0" collapsed="false">
      <c r="A229" s="9" t="n">
        <v>228</v>
      </c>
      <c r="B229" s="9" t="s">
        <v>59</v>
      </c>
      <c r="C229" s="9" t="s">
        <v>60</v>
      </c>
      <c r="D229" s="9" t="s">
        <v>455</v>
      </c>
      <c r="E229" s="9" t="s">
        <v>442</v>
      </c>
      <c r="F229" s="9" t="s">
        <v>443</v>
      </c>
      <c r="G229" s="9" t="n">
        <f aca="false">1144.30379746835/1000</f>
        <v>1.14430379746835</v>
      </c>
      <c r="H229" s="9" t="s">
        <v>36</v>
      </c>
      <c r="I229" s="9"/>
      <c r="J229" s="9"/>
      <c r="K229" s="9" t="s">
        <v>444</v>
      </c>
      <c r="L229" s="0" t="n">
        <v>2001</v>
      </c>
      <c r="M229" s="9" t="s">
        <v>38</v>
      </c>
      <c r="N229" s="11" t="s">
        <v>445</v>
      </c>
      <c r="O229" s="11" t="s">
        <v>446</v>
      </c>
      <c r="P229" s="9" t="s">
        <v>39</v>
      </c>
      <c r="Q229" s="9" t="s">
        <v>110</v>
      </c>
      <c r="R229" s="9" t="s">
        <v>41</v>
      </c>
      <c r="S229" s="9" t="s">
        <v>447</v>
      </c>
      <c r="T229" s="9" t="s">
        <v>233</v>
      </c>
      <c r="U229" s="9" t="n">
        <v>4</v>
      </c>
      <c r="V229" s="9" t="n">
        <v>1</v>
      </c>
      <c r="W229" s="9" t="n">
        <v>833</v>
      </c>
      <c r="X229" s="9"/>
      <c r="Y229" s="9" t="n">
        <f aca="false">W229+X229</f>
        <v>833</v>
      </c>
      <c r="Z229" s="9"/>
      <c r="AA229" s="12" t="n">
        <v>0.24</v>
      </c>
      <c r="AB229" s="12"/>
      <c r="AC229" s="12" t="n">
        <f aca="false">G229/V229</f>
        <v>1.14430379746835</v>
      </c>
      <c r="AD229" s="12" t="n">
        <f aca="false">(G229/V229)*AA229</f>
        <v>0.274632911392404</v>
      </c>
    </row>
    <row r="230" customFormat="false" ht="13.8" hidden="false" customHeight="false" outlineLevel="0" collapsed="false">
      <c r="A230" s="9" t="n">
        <v>229</v>
      </c>
      <c r="B230" s="9" t="s">
        <v>59</v>
      </c>
      <c r="C230" s="9" t="s">
        <v>60</v>
      </c>
      <c r="D230" s="9" t="s">
        <v>456</v>
      </c>
      <c r="E230" s="9" t="s">
        <v>442</v>
      </c>
      <c r="F230" s="9" t="s">
        <v>443</v>
      </c>
      <c r="G230" s="9" t="n">
        <f aca="false">764.556962025316/1000</f>
        <v>0.764556962025316</v>
      </c>
      <c r="H230" s="9" t="s">
        <v>36</v>
      </c>
      <c r="I230" s="9"/>
      <c r="J230" s="9"/>
      <c r="K230" s="9" t="s">
        <v>444</v>
      </c>
      <c r="L230" s="0" t="n">
        <v>2001</v>
      </c>
      <c r="M230" s="9" t="s">
        <v>38</v>
      </c>
      <c r="N230" s="11" t="s">
        <v>445</v>
      </c>
      <c r="O230" s="11" t="s">
        <v>446</v>
      </c>
      <c r="P230" s="9" t="s">
        <v>39</v>
      </c>
      <c r="Q230" s="9" t="s">
        <v>110</v>
      </c>
      <c r="R230" s="9" t="s">
        <v>41</v>
      </c>
      <c r="S230" s="9" t="s">
        <v>447</v>
      </c>
      <c r="T230" s="9" t="s">
        <v>233</v>
      </c>
      <c r="U230" s="9" t="n">
        <v>4</v>
      </c>
      <c r="V230" s="9" t="n">
        <v>1</v>
      </c>
      <c r="W230" s="9" t="n">
        <v>833</v>
      </c>
      <c r="X230" s="9"/>
      <c r="Y230" s="9" t="n">
        <f aca="false">W230+X230</f>
        <v>833</v>
      </c>
      <c r="Z230" s="9"/>
      <c r="AA230" s="12" t="n">
        <v>0.24</v>
      </c>
      <c r="AB230" s="12"/>
      <c r="AC230" s="12" t="n">
        <f aca="false">G230/V230</f>
        <v>0.764556962025316</v>
      </c>
      <c r="AD230" s="12" t="n">
        <f aca="false">(G230/V230)*AA230</f>
        <v>0.183493670886076</v>
      </c>
    </row>
    <row r="231" customFormat="false" ht="13.8" hidden="false" customHeight="false" outlineLevel="0" collapsed="false">
      <c r="A231" s="9" t="n">
        <v>230</v>
      </c>
      <c r="B231" s="9" t="s">
        <v>59</v>
      </c>
      <c r="C231" s="9" t="s">
        <v>60</v>
      </c>
      <c r="D231" s="9" t="s">
        <v>457</v>
      </c>
      <c r="E231" s="9" t="s">
        <v>442</v>
      </c>
      <c r="F231" s="9" t="s">
        <v>443</v>
      </c>
      <c r="G231" s="9" t="n">
        <f aca="false">129.113924050632/1000</f>
        <v>0.129113924050632</v>
      </c>
      <c r="H231" s="9" t="s">
        <v>36</v>
      </c>
      <c r="I231" s="9"/>
      <c r="J231" s="9"/>
      <c r="K231" s="9" t="s">
        <v>444</v>
      </c>
      <c r="L231" s="0" t="n">
        <v>2001</v>
      </c>
      <c r="M231" s="9" t="s">
        <v>38</v>
      </c>
      <c r="N231" s="11" t="s">
        <v>445</v>
      </c>
      <c r="O231" s="11" t="s">
        <v>446</v>
      </c>
      <c r="P231" s="9" t="s">
        <v>39</v>
      </c>
      <c r="Q231" s="9" t="s">
        <v>110</v>
      </c>
      <c r="R231" s="9" t="s">
        <v>41</v>
      </c>
      <c r="S231" s="9" t="s">
        <v>447</v>
      </c>
      <c r="T231" s="9" t="s">
        <v>233</v>
      </c>
      <c r="U231" s="9" t="n">
        <v>4</v>
      </c>
      <c r="V231" s="9" t="n">
        <v>1</v>
      </c>
      <c r="W231" s="9" t="n">
        <v>833</v>
      </c>
      <c r="X231" s="9"/>
      <c r="Y231" s="9" t="n">
        <f aca="false">W231+X231</f>
        <v>833</v>
      </c>
      <c r="Z231" s="9"/>
      <c r="AA231" s="12" t="n">
        <v>0.24</v>
      </c>
      <c r="AB231" s="12"/>
      <c r="AC231" s="12" t="n">
        <f aca="false">G231/V231</f>
        <v>0.129113924050632</v>
      </c>
      <c r="AD231" s="12" t="n">
        <f aca="false">(G231/V231)*AA231</f>
        <v>0.0309873417721517</v>
      </c>
    </row>
    <row r="232" customFormat="false" ht="13.8" hidden="false" customHeight="false" outlineLevel="0" collapsed="false">
      <c r="A232" s="9" t="n">
        <v>231</v>
      </c>
      <c r="B232" s="9" t="s">
        <v>59</v>
      </c>
      <c r="C232" s="9" t="s">
        <v>60</v>
      </c>
      <c r="D232" s="9" t="s">
        <v>458</v>
      </c>
      <c r="E232" s="9" t="s">
        <v>442</v>
      </c>
      <c r="F232" s="9" t="s">
        <v>443</v>
      </c>
      <c r="G232" s="9" t="n">
        <f aca="false">200/1000</f>
        <v>0.2</v>
      </c>
      <c r="H232" s="9" t="s">
        <v>36</v>
      </c>
      <c r="I232" s="9"/>
      <c r="J232" s="9"/>
      <c r="K232" s="9" t="s">
        <v>444</v>
      </c>
      <c r="L232" s="0" t="n">
        <v>2001</v>
      </c>
      <c r="M232" s="9" t="s">
        <v>38</v>
      </c>
      <c r="N232" s="11" t="s">
        <v>445</v>
      </c>
      <c r="O232" s="11" t="s">
        <v>446</v>
      </c>
      <c r="P232" s="9" t="s">
        <v>39</v>
      </c>
      <c r="Q232" s="9" t="s">
        <v>110</v>
      </c>
      <c r="R232" s="9" t="s">
        <v>41</v>
      </c>
      <c r="S232" s="9" t="s">
        <v>447</v>
      </c>
      <c r="T232" s="9" t="s">
        <v>233</v>
      </c>
      <c r="U232" s="9" t="n">
        <v>4</v>
      </c>
      <c r="V232" s="9" t="n">
        <v>1</v>
      </c>
      <c r="W232" s="9" t="n">
        <v>833</v>
      </c>
      <c r="X232" s="9"/>
      <c r="Y232" s="9" t="n">
        <f aca="false">W232+X232</f>
        <v>833</v>
      </c>
      <c r="Z232" s="9"/>
      <c r="AA232" s="12" t="n">
        <v>0.24</v>
      </c>
      <c r="AB232" s="12"/>
      <c r="AC232" s="12" t="n">
        <f aca="false">G232/V232</f>
        <v>0.2</v>
      </c>
      <c r="AD232" s="12" t="n">
        <f aca="false">(G232/V232)*AA232</f>
        <v>0.048</v>
      </c>
    </row>
    <row r="233" customFormat="false" ht="68.65" hidden="false" customHeight="false" outlineLevel="0" collapsed="false">
      <c r="A233" s="9" t="n">
        <v>232</v>
      </c>
      <c r="B233" s="9" t="s">
        <v>30</v>
      </c>
      <c r="C233" s="9" t="s">
        <v>115</v>
      </c>
      <c r="D233" s="9" t="s">
        <v>459</v>
      </c>
      <c r="E233" s="9" t="s">
        <v>460</v>
      </c>
      <c r="F233" s="9"/>
      <c r="G233" s="9" t="n">
        <v>74.3</v>
      </c>
      <c r="H233" s="9" t="s">
        <v>36</v>
      </c>
      <c r="I233" s="9"/>
      <c r="J233" s="9"/>
      <c r="K233" s="13" t="s">
        <v>461</v>
      </c>
      <c r="L233" s="0" t="n">
        <v>2001</v>
      </c>
      <c r="M233" s="9" t="s">
        <v>38</v>
      </c>
      <c r="N233" s="11" t="n">
        <v>-0.864668</v>
      </c>
      <c r="O233" s="11" t="n">
        <v>113.857266</v>
      </c>
      <c r="P233" s="9" t="s">
        <v>39</v>
      </c>
      <c r="Q233" s="9" t="s">
        <v>53</v>
      </c>
      <c r="R233" s="9" t="s">
        <v>41</v>
      </c>
      <c r="S233" s="9" t="s">
        <v>460</v>
      </c>
      <c r="T233" s="9" t="s">
        <v>112</v>
      </c>
      <c r="U233" s="9" t="n">
        <v>8</v>
      </c>
      <c r="V233" s="9" t="n">
        <v>8</v>
      </c>
      <c r="W233" s="9"/>
      <c r="X233" s="9"/>
      <c r="Y233" s="9"/>
      <c r="Z233" s="9"/>
      <c r="AA233" s="12" t="n">
        <v>0.24</v>
      </c>
      <c r="AB233" s="12"/>
      <c r="AC233" s="12" t="n">
        <f aca="false">G233/V233</f>
        <v>9.2875</v>
      </c>
      <c r="AD233" s="12" t="n">
        <f aca="false">(G233/V233)*AA233</f>
        <v>2.229</v>
      </c>
    </row>
    <row r="234" customFormat="false" ht="68.65" hidden="false" customHeight="false" outlineLevel="0" collapsed="false">
      <c r="A234" s="9" t="n">
        <v>233</v>
      </c>
      <c r="B234" s="9" t="s">
        <v>30</v>
      </c>
      <c r="C234" s="9" t="s">
        <v>115</v>
      </c>
      <c r="D234" s="9" t="s">
        <v>462</v>
      </c>
      <c r="E234" s="9" t="s">
        <v>463</v>
      </c>
      <c r="F234" s="9"/>
      <c r="G234" s="9" t="n">
        <v>89.2</v>
      </c>
      <c r="H234" s="9" t="s">
        <v>36</v>
      </c>
      <c r="I234" s="9"/>
      <c r="J234" s="9"/>
      <c r="K234" s="13" t="s">
        <v>461</v>
      </c>
      <c r="L234" s="0" t="n">
        <v>2001</v>
      </c>
      <c r="M234" s="9" t="s">
        <v>38</v>
      </c>
      <c r="N234" s="11" t="n">
        <v>-0.864668</v>
      </c>
      <c r="O234" s="11" t="n">
        <v>113.857266</v>
      </c>
      <c r="P234" s="9" t="s">
        <v>39</v>
      </c>
      <c r="Q234" s="9" t="s">
        <v>53</v>
      </c>
      <c r="R234" s="9" t="s">
        <v>41</v>
      </c>
      <c r="S234" s="9" t="s">
        <v>460</v>
      </c>
      <c r="T234" s="9" t="s">
        <v>112</v>
      </c>
      <c r="U234" s="9" t="n">
        <v>25</v>
      </c>
      <c r="V234" s="9" t="n">
        <v>25</v>
      </c>
      <c r="W234" s="9"/>
      <c r="X234" s="9"/>
      <c r="Y234" s="9"/>
      <c r="Z234" s="9"/>
      <c r="AA234" s="12" t="n">
        <v>0.24</v>
      </c>
      <c r="AB234" s="12"/>
      <c r="AC234" s="12" t="n">
        <f aca="false">G234/V234</f>
        <v>3.568</v>
      </c>
      <c r="AD234" s="12" t="n">
        <f aca="false">(G234/V234)*AA234</f>
        <v>0.85632</v>
      </c>
    </row>
    <row r="235" customFormat="false" ht="68.65" hidden="false" customHeight="false" outlineLevel="0" collapsed="false">
      <c r="A235" s="9" t="n">
        <v>234</v>
      </c>
      <c r="B235" s="9" t="s">
        <v>30</v>
      </c>
      <c r="C235" s="9" t="s">
        <v>73</v>
      </c>
      <c r="D235" s="9" t="s">
        <v>464</v>
      </c>
      <c r="E235" s="9" t="s">
        <v>465</v>
      </c>
      <c r="F235" s="9"/>
      <c r="G235" s="9" t="n">
        <v>19.6</v>
      </c>
      <c r="H235" s="9" t="s">
        <v>36</v>
      </c>
      <c r="I235" s="9"/>
      <c r="J235" s="9"/>
      <c r="K235" s="13" t="s">
        <v>461</v>
      </c>
      <c r="L235" s="0" t="n">
        <v>2001</v>
      </c>
      <c r="M235" s="9" t="s">
        <v>38</v>
      </c>
      <c r="N235" s="11" t="n">
        <v>-1.48544</v>
      </c>
      <c r="O235" s="11" t="n">
        <v>-44.782957</v>
      </c>
      <c r="P235" s="9" t="s">
        <v>39</v>
      </c>
      <c r="Q235" s="9" t="s">
        <v>110</v>
      </c>
      <c r="R235" s="9" t="s">
        <v>41</v>
      </c>
      <c r="S235" s="9" t="s">
        <v>465</v>
      </c>
      <c r="T235" s="9" t="s">
        <v>207</v>
      </c>
      <c r="U235" s="9" t="n">
        <v>5</v>
      </c>
      <c r="V235" s="9" t="n">
        <v>5</v>
      </c>
      <c r="W235" s="9"/>
      <c r="X235" s="9"/>
      <c r="Y235" s="9"/>
      <c r="Z235" s="9"/>
      <c r="AA235" s="12" t="n">
        <v>0.24</v>
      </c>
      <c r="AB235" s="12"/>
      <c r="AC235" s="12" t="n">
        <f aca="false">G235/V235</f>
        <v>3.92</v>
      </c>
      <c r="AD235" s="12" t="n">
        <f aca="false">(G235/V235)*AA235</f>
        <v>0.9408</v>
      </c>
    </row>
    <row r="236" customFormat="false" ht="68.65" hidden="false" customHeight="false" outlineLevel="0" collapsed="false">
      <c r="A236" s="9" t="n">
        <v>235</v>
      </c>
      <c r="B236" s="9" t="s">
        <v>30</v>
      </c>
      <c r="C236" s="9" t="s">
        <v>73</v>
      </c>
      <c r="D236" s="9" t="s">
        <v>466</v>
      </c>
      <c r="E236" s="9" t="s">
        <v>465</v>
      </c>
      <c r="F236" s="9"/>
      <c r="G236" s="9" t="n">
        <v>28</v>
      </c>
      <c r="H236" s="9" t="s">
        <v>36</v>
      </c>
      <c r="I236" s="9"/>
      <c r="J236" s="9"/>
      <c r="K236" s="13" t="s">
        <v>461</v>
      </c>
      <c r="L236" s="0" t="n">
        <v>2001</v>
      </c>
      <c r="M236" s="9" t="s">
        <v>38</v>
      </c>
      <c r="N236" s="11" t="n">
        <v>-1.48544</v>
      </c>
      <c r="O236" s="11" t="n">
        <v>-44.782957</v>
      </c>
      <c r="P236" s="9" t="s">
        <v>39</v>
      </c>
      <c r="Q236" s="9" t="s">
        <v>110</v>
      </c>
      <c r="R236" s="9" t="s">
        <v>41</v>
      </c>
      <c r="S236" s="9" t="s">
        <v>465</v>
      </c>
      <c r="T236" s="9" t="s">
        <v>207</v>
      </c>
      <c r="U236" s="9" t="n">
        <v>5</v>
      </c>
      <c r="V236" s="9" t="n">
        <v>5</v>
      </c>
      <c r="W236" s="9"/>
      <c r="X236" s="9"/>
      <c r="Y236" s="9"/>
      <c r="Z236" s="9"/>
      <c r="AA236" s="12" t="n">
        <v>0.24</v>
      </c>
      <c r="AB236" s="12"/>
      <c r="AC236" s="12" t="n">
        <f aca="false">G236/V236</f>
        <v>5.6</v>
      </c>
      <c r="AD236" s="12" t="n">
        <f aca="false">(G236/V236)*AA236</f>
        <v>1.344</v>
      </c>
    </row>
    <row r="237" customFormat="false" ht="68.65" hidden="false" customHeight="false" outlineLevel="0" collapsed="false">
      <c r="A237" s="9" t="n">
        <v>236</v>
      </c>
      <c r="B237" s="9" t="s">
        <v>30</v>
      </c>
      <c r="C237" s="9" t="s">
        <v>208</v>
      </c>
      <c r="D237" s="9" t="s">
        <v>467</v>
      </c>
      <c r="E237" s="9" t="s">
        <v>465</v>
      </c>
      <c r="F237" s="9"/>
      <c r="G237" s="9" t="n">
        <v>15</v>
      </c>
      <c r="H237" s="9" t="s">
        <v>36</v>
      </c>
      <c r="I237" s="9"/>
      <c r="J237" s="9"/>
      <c r="K237" s="13" t="s">
        <v>461</v>
      </c>
      <c r="L237" s="0" t="n">
        <v>2001</v>
      </c>
      <c r="M237" s="9" t="s">
        <v>38</v>
      </c>
      <c r="N237" s="11" t="n">
        <v>-1.48544</v>
      </c>
      <c r="O237" s="11" t="n">
        <v>-44.782957</v>
      </c>
      <c r="P237" s="9" t="s">
        <v>39</v>
      </c>
      <c r="Q237" s="9" t="s">
        <v>110</v>
      </c>
      <c r="R237" s="9" t="s">
        <v>41</v>
      </c>
      <c r="S237" s="9" t="s">
        <v>465</v>
      </c>
      <c r="T237" s="9" t="s">
        <v>207</v>
      </c>
      <c r="U237" s="9" t="n">
        <v>7</v>
      </c>
      <c r="V237" s="9" t="n">
        <v>7</v>
      </c>
      <c r="W237" s="9"/>
      <c r="X237" s="9"/>
      <c r="Y237" s="9"/>
      <c r="Z237" s="9"/>
      <c r="AA237" s="12" t="n">
        <v>0.24</v>
      </c>
      <c r="AB237" s="12"/>
      <c r="AC237" s="12" t="n">
        <f aca="false">G237/V237</f>
        <v>2.14285714285714</v>
      </c>
      <c r="AD237" s="12" t="n">
        <f aca="false">(G237/V237)*AA237</f>
        <v>0.514285714285714</v>
      </c>
    </row>
    <row r="238" customFormat="false" ht="68.65" hidden="false" customHeight="false" outlineLevel="0" collapsed="false">
      <c r="A238" s="9" t="n">
        <v>237</v>
      </c>
      <c r="B238" s="9" t="s">
        <v>30</v>
      </c>
      <c r="C238" s="9" t="s">
        <v>115</v>
      </c>
      <c r="D238" s="9" t="s">
        <v>468</v>
      </c>
      <c r="E238" s="9" t="s">
        <v>465</v>
      </c>
      <c r="F238" s="9"/>
      <c r="G238" s="9" t="n">
        <v>87.1</v>
      </c>
      <c r="H238" s="9" t="s">
        <v>36</v>
      </c>
      <c r="I238" s="9"/>
      <c r="J238" s="9"/>
      <c r="K238" s="13" t="s">
        <v>461</v>
      </c>
      <c r="L238" s="0" t="n">
        <v>2001</v>
      </c>
      <c r="M238" s="9" t="s">
        <v>38</v>
      </c>
      <c r="N238" s="11" t="n">
        <v>-1.48544</v>
      </c>
      <c r="O238" s="11" t="n">
        <v>-44.782957</v>
      </c>
      <c r="P238" s="9" t="s">
        <v>39</v>
      </c>
      <c r="Q238" s="9" t="s">
        <v>110</v>
      </c>
      <c r="R238" s="9" t="s">
        <v>41</v>
      </c>
      <c r="S238" s="9" t="s">
        <v>465</v>
      </c>
      <c r="T238" s="9" t="s">
        <v>207</v>
      </c>
      <c r="U238" s="9" t="n">
        <v>12</v>
      </c>
      <c r="V238" s="9" t="n">
        <v>12</v>
      </c>
      <c r="W238" s="9"/>
      <c r="X238" s="9"/>
      <c r="Y238" s="9"/>
      <c r="Z238" s="9"/>
      <c r="AA238" s="12" t="n">
        <v>0.24</v>
      </c>
      <c r="AB238" s="12"/>
      <c r="AC238" s="12" t="n">
        <f aca="false">G238/V238</f>
        <v>7.25833333333333</v>
      </c>
      <c r="AD238" s="12" t="n">
        <f aca="false">(G238/V238)*AA238</f>
        <v>1.742</v>
      </c>
    </row>
    <row r="239" customFormat="false" ht="68.65" hidden="false" customHeight="false" outlineLevel="0" collapsed="false">
      <c r="A239" s="9" t="n">
        <v>238</v>
      </c>
      <c r="B239" s="9" t="s">
        <v>30</v>
      </c>
      <c r="C239" s="9" t="s">
        <v>73</v>
      </c>
      <c r="D239" s="9" t="s">
        <v>469</v>
      </c>
      <c r="E239" s="9" t="s">
        <v>423</v>
      </c>
      <c r="F239" s="9"/>
      <c r="G239" s="9" t="n">
        <v>167</v>
      </c>
      <c r="H239" s="9" t="s">
        <v>36</v>
      </c>
      <c r="I239" s="9"/>
      <c r="J239" s="9"/>
      <c r="K239" s="13" t="s">
        <v>461</v>
      </c>
      <c r="L239" s="0" t="n">
        <v>2001</v>
      </c>
      <c r="M239" s="9" t="s">
        <v>38</v>
      </c>
      <c r="N239" s="11" t="n">
        <v>7.40364</v>
      </c>
      <c r="O239" s="11" t="n">
        <v>12.36801</v>
      </c>
      <c r="P239" s="9" t="s">
        <v>39</v>
      </c>
      <c r="Q239" s="9" t="s">
        <v>110</v>
      </c>
      <c r="R239" s="9" t="s">
        <v>41</v>
      </c>
      <c r="S239" s="9" t="s">
        <v>423</v>
      </c>
      <c r="T239" s="9" t="s">
        <v>43</v>
      </c>
      <c r="U239" s="9" t="n">
        <v>23</v>
      </c>
      <c r="V239" s="9" t="n">
        <v>23</v>
      </c>
      <c r="W239" s="9"/>
      <c r="X239" s="9"/>
      <c r="Y239" s="9"/>
      <c r="Z239" s="9"/>
      <c r="AA239" s="12" t="n">
        <v>0.24</v>
      </c>
      <c r="AB239" s="12"/>
      <c r="AC239" s="12" t="n">
        <f aca="false">G239/V239</f>
        <v>7.26086956521739</v>
      </c>
      <c r="AD239" s="12" t="n">
        <f aca="false">(G239/V239)*AA239</f>
        <v>1.74260869565217</v>
      </c>
    </row>
    <row r="240" customFormat="false" ht="68.65" hidden="false" customHeight="false" outlineLevel="0" collapsed="false">
      <c r="A240" s="9" t="n">
        <v>239</v>
      </c>
      <c r="B240" s="9" t="s">
        <v>30</v>
      </c>
      <c r="C240" s="9" t="s">
        <v>73</v>
      </c>
      <c r="D240" s="9" t="s">
        <v>470</v>
      </c>
      <c r="E240" s="9" t="s">
        <v>423</v>
      </c>
      <c r="F240" s="9"/>
      <c r="G240" s="9" t="n">
        <v>76.1</v>
      </c>
      <c r="H240" s="9" t="s">
        <v>36</v>
      </c>
      <c r="I240" s="9"/>
      <c r="J240" s="9"/>
      <c r="K240" s="13" t="s">
        <v>461</v>
      </c>
      <c r="L240" s="0" t="n">
        <v>2001</v>
      </c>
      <c r="M240" s="9" t="s">
        <v>38</v>
      </c>
      <c r="N240" s="11" t="n">
        <v>7.40364</v>
      </c>
      <c r="O240" s="11" t="n">
        <v>12.36801</v>
      </c>
      <c r="P240" s="9" t="s">
        <v>39</v>
      </c>
      <c r="Q240" s="9" t="s">
        <v>110</v>
      </c>
      <c r="R240" s="9" t="s">
        <v>41</v>
      </c>
      <c r="S240" s="9" t="s">
        <v>423</v>
      </c>
      <c r="T240" s="9" t="s">
        <v>43</v>
      </c>
      <c r="U240" s="9" t="n">
        <v>9</v>
      </c>
      <c r="V240" s="9" t="n">
        <v>9</v>
      </c>
      <c r="W240" s="9"/>
      <c r="X240" s="9"/>
      <c r="Y240" s="9"/>
      <c r="Z240" s="9"/>
      <c r="AA240" s="12" t="n">
        <v>0.24</v>
      </c>
      <c r="AB240" s="12"/>
      <c r="AC240" s="12" t="n">
        <f aca="false">G240/V240</f>
        <v>8.45555555555556</v>
      </c>
      <c r="AD240" s="12" t="n">
        <f aca="false">(G240/V240)*AA240</f>
        <v>2.02933333333333</v>
      </c>
    </row>
    <row r="241" customFormat="false" ht="68.65" hidden="false" customHeight="false" outlineLevel="0" collapsed="false">
      <c r="A241" s="9" t="n">
        <v>240</v>
      </c>
      <c r="B241" s="9" t="s">
        <v>30</v>
      </c>
      <c r="C241" s="9" t="s">
        <v>73</v>
      </c>
      <c r="D241" s="9" t="s">
        <v>471</v>
      </c>
      <c r="E241" s="9" t="s">
        <v>423</v>
      </c>
      <c r="F241" s="9"/>
      <c r="G241" s="9" t="n">
        <v>11.6</v>
      </c>
      <c r="H241" s="9" t="s">
        <v>36</v>
      </c>
      <c r="I241" s="9"/>
      <c r="J241" s="9"/>
      <c r="K241" s="13" t="s">
        <v>461</v>
      </c>
      <c r="L241" s="0" t="n">
        <v>2001</v>
      </c>
      <c r="M241" s="9" t="s">
        <v>38</v>
      </c>
      <c r="N241" s="11" t="n">
        <v>7.40364</v>
      </c>
      <c r="O241" s="11" t="n">
        <v>12.36801</v>
      </c>
      <c r="P241" s="9" t="s">
        <v>39</v>
      </c>
      <c r="Q241" s="9" t="s">
        <v>110</v>
      </c>
      <c r="R241" s="9" t="s">
        <v>41</v>
      </c>
      <c r="S241" s="9" t="s">
        <v>423</v>
      </c>
      <c r="T241" s="9" t="s">
        <v>43</v>
      </c>
      <c r="U241" s="9" t="n">
        <v>4</v>
      </c>
      <c r="V241" s="9" t="n">
        <v>4</v>
      </c>
      <c r="W241" s="9"/>
      <c r="X241" s="9"/>
      <c r="Y241" s="9"/>
      <c r="Z241" s="9"/>
      <c r="AA241" s="12" t="n">
        <v>0.24</v>
      </c>
      <c r="AB241" s="12"/>
      <c r="AC241" s="12" t="n">
        <f aca="false">G241/V241</f>
        <v>2.9</v>
      </c>
      <c r="AD241" s="12" t="n">
        <f aca="false">(G241/V241)*AA241</f>
        <v>0.696</v>
      </c>
    </row>
    <row r="242" customFormat="false" ht="68.65" hidden="false" customHeight="false" outlineLevel="0" collapsed="false">
      <c r="A242" s="9" t="n">
        <v>241</v>
      </c>
      <c r="B242" s="9" t="s">
        <v>30</v>
      </c>
      <c r="C242" s="9" t="s">
        <v>115</v>
      </c>
      <c r="D242" s="9" t="s">
        <v>472</v>
      </c>
      <c r="E242" s="9" t="s">
        <v>473</v>
      </c>
      <c r="F242" s="9"/>
      <c r="G242" s="9" t="n">
        <v>88.7</v>
      </c>
      <c r="H242" s="9" t="s">
        <v>36</v>
      </c>
      <c r="I242" s="9"/>
      <c r="J242" s="9"/>
      <c r="K242" s="13" t="s">
        <v>461</v>
      </c>
      <c r="L242" s="0" t="n">
        <v>2001</v>
      </c>
      <c r="M242" s="9" t="s">
        <v>38</v>
      </c>
      <c r="N242" s="11" t="n">
        <v>7.40364</v>
      </c>
      <c r="O242" s="11" t="n">
        <v>12.36801</v>
      </c>
      <c r="P242" s="9" t="s">
        <v>39</v>
      </c>
      <c r="Q242" s="9" t="s">
        <v>110</v>
      </c>
      <c r="R242" s="9" t="s">
        <v>41</v>
      </c>
      <c r="S242" s="9" t="s">
        <v>423</v>
      </c>
      <c r="T242" s="9" t="s">
        <v>43</v>
      </c>
      <c r="U242" s="9" t="n">
        <v>25</v>
      </c>
      <c r="V242" s="9" t="n">
        <v>25</v>
      </c>
      <c r="W242" s="9"/>
      <c r="X242" s="9"/>
      <c r="Y242" s="9"/>
      <c r="Z242" s="9"/>
      <c r="AA242" s="12" t="n">
        <v>0.24</v>
      </c>
      <c r="AB242" s="12"/>
      <c r="AC242" s="12" t="n">
        <f aca="false">G242/V242</f>
        <v>3.548</v>
      </c>
      <c r="AD242" s="12" t="n">
        <f aca="false">(G242/V242)*AA242</f>
        <v>0.85152</v>
      </c>
    </row>
    <row r="243" customFormat="false" ht="13.8" hidden="false" customHeight="false" outlineLevel="0" collapsed="false">
      <c r="A243" s="9" t="n">
        <v>242</v>
      </c>
      <c r="B243" s="9" t="s">
        <v>30</v>
      </c>
      <c r="C243" s="9" t="s">
        <v>47</v>
      </c>
      <c r="D243" s="9" t="s">
        <v>474</v>
      </c>
      <c r="E243" s="9" t="s">
        <v>475</v>
      </c>
      <c r="F243" s="9" t="s">
        <v>476</v>
      </c>
      <c r="G243" s="9" t="n">
        <v>12.9</v>
      </c>
      <c r="H243" s="9" t="s">
        <v>36</v>
      </c>
      <c r="I243" s="9"/>
      <c r="J243" s="9"/>
      <c r="K243" s="9" t="s">
        <v>477</v>
      </c>
      <c r="L243" s="0" t="n">
        <v>2002</v>
      </c>
      <c r="M243" s="9" t="s">
        <v>38</v>
      </c>
      <c r="N243" s="11" t="n">
        <v>43.54111111</v>
      </c>
      <c r="O243" s="11" t="n">
        <v>-80.20888889</v>
      </c>
      <c r="P243" s="9" t="s">
        <v>97</v>
      </c>
      <c r="Q243" s="9" t="s">
        <v>98</v>
      </c>
      <c r="R243" s="9" t="s">
        <v>99</v>
      </c>
      <c r="S243" s="9" t="s">
        <v>324</v>
      </c>
      <c r="T243" s="9" t="s">
        <v>325</v>
      </c>
      <c r="U243" s="9" t="n">
        <v>13</v>
      </c>
      <c r="V243" s="9" t="n">
        <v>13</v>
      </c>
      <c r="W243" s="9" t="n">
        <v>111</v>
      </c>
      <c r="X243" s="9"/>
      <c r="Y243" s="9" t="n">
        <f aca="false">W243+X243</f>
        <v>111</v>
      </c>
      <c r="Z243" s="9"/>
      <c r="AA243" s="12" t="n">
        <f aca="false">AB243/G243</f>
        <v>0.170542635658915</v>
      </c>
      <c r="AB243" s="12" t="n">
        <v>2.2</v>
      </c>
      <c r="AC243" s="12" t="n">
        <f aca="false">G243/V243</f>
        <v>0.992307692307692</v>
      </c>
      <c r="AD243" s="12" t="n">
        <f aca="false">(G243/V243)*AA243</f>
        <v>0.169230769230769</v>
      </c>
    </row>
    <row r="244" customFormat="false" ht="13.8" hidden="false" customHeight="false" outlineLevel="0" collapsed="false">
      <c r="A244" s="9" t="n">
        <v>243</v>
      </c>
      <c r="B244" s="9" t="s">
        <v>30</v>
      </c>
      <c r="C244" s="9" t="s">
        <v>47</v>
      </c>
      <c r="D244" s="9" t="s">
        <v>478</v>
      </c>
      <c r="E244" s="9" t="s">
        <v>475</v>
      </c>
      <c r="F244" s="9" t="s">
        <v>476</v>
      </c>
      <c r="G244" s="9" t="n">
        <v>5.2</v>
      </c>
      <c r="H244" s="9" t="s">
        <v>36</v>
      </c>
      <c r="I244" s="9"/>
      <c r="J244" s="9"/>
      <c r="K244" s="9" t="s">
        <v>477</v>
      </c>
      <c r="L244" s="0" t="n">
        <v>2002</v>
      </c>
      <c r="M244" s="9" t="s">
        <v>38</v>
      </c>
      <c r="N244" s="11" t="n">
        <v>43.54111111</v>
      </c>
      <c r="O244" s="11" t="n">
        <v>-80.20888889</v>
      </c>
      <c r="P244" s="9" t="s">
        <v>97</v>
      </c>
      <c r="Q244" s="9" t="s">
        <v>98</v>
      </c>
      <c r="R244" s="9" t="s">
        <v>99</v>
      </c>
      <c r="S244" s="9" t="s">
        <v>324</v>
      </c>
      <c r="T244" s="9" t="s">
        <v>325</v>
      </c>
      <c r="U244" s="9" t="n">
        <v>13</v>
      </c>
      <c r="V244" s="9" t="n">
        <v>13</v>
      </c>
      <c r="W244" s="9" t="n">
        <v>111</v>
      </c>
      <c r="X244" s="9"/>
      <c r="Y244" s="9" t="n">
        <f aca="false">W244+X244</f>
        <v>111</v>
      </c>
      <c r="Z244" s="9"/>
      <c r="AA244" s="12" t="n">
        <f aca="false">AB244/G244</f>
        <v>0.230769230769231</v>
      </c>
      <c r="AB244" s="12" t="n">
        <v>1.2</v>
      </c>
      <c r="AC244" s="12" t="n">
        <f aca="false">G244/V244</f>
        <v>0.4</v>
      </c>
      <c r="AD244" s="12" t="n">
        <f aca="false">(G244/V244)*AA244</f>
        <v>0.0923076923076923</v>
      </c>
    </row>
    <row r="245" customFormat="false" ht="13.8" hidden="false" customHeight="false" outlineLevel="0" collapsed="false">
      <c r="A245" s="9" t="n">
        <v>244</v>
      </c>
      <c r="B245" s="9" t="s">
        <v>30</v>
      </c>
      <c r="C245" s="9" t="s">
        <v>208</v>
      </c>
      <c r="D245" s="9" t="s">
        <v>479</v>
      </c>
      <c r="E245" s="9" t="s">
        <v>480</v>
      </c>
      <c r="F245" s="9" t="s">
        <v>481</v>
      </c>
      <c r="G245" s="9" t="n">
        <v>31.6</v>
      </c>
      <c r="H245" s="9" t="s">
        <v>36</v>
      </c>
      <c r="I245" s="9"/>
      <c r="J245" s="9"/>
      <c r="K245" s="9" t="s">
        <v>482</v>
      </c>
      <c r="L245" s="0" t="n">
        <v>2003</v>
      </c>
      <c r="M245" s="9" t="s">
        <v>38</v>
      </c>
      <c r="N245" s="11" t="s">
        <v>445</v>
      </c>
      <c r="O245" s="11" t="s">
        <v>446</v>
      </c>
      <c r="P245" s="9" t="s">
        <v>39</v>
      </c>
      <c r="Q245" s="9" t="s">
        <v>110</v>
      </c>
      <c r="R245" s="9" t="s">
        <v>41</v>
      </c>
      <c r="S245" s="9" t="s">
        <v>447</v>
      </c>
      <c r="T245" s="9" t="s">
        <v>233</v>
      </c>
      <c r="U245" s="9" t="n">
        <v>15</v>
      </c>
      <c r="V245" s="9" t="n">
        <v>15</v>
      </c>
      <c r="W245" s="9" t="n">
        <f aca="false">AVERAGE(90,100)</f>
        <v>95</v>
      </c>
      <c r="X245" s="9" t="n">
        <f aca="false">AVERAGE(5000,6100)</f>
        <v>5550</v>
      </c>
      <c r="Y245" s="9" t="n">
        <f aca="false">W245+X245</f>
        <v>5645</v>
      </c>
      <c r="Z245" s="9"/>
      <c r="AA245" s="12" t="n">
        <v>0.24</v>
      </c>
      <c r="AB245" s="12"/>
      <c r="AC245" s="12" t="n">
        <v>2.10666666666667</v>
      </c>
      <c r="AD245" s="12" t="n">
        <v>0.5056</v>
      </c>
    </row>
    <row r="246" customFormat="false" ht="13.8" hidden="false" customHeight="false" outlineLevel="0" collapsed="false">
      <c r="A246" s="9" t="n">
        <v>245</v>
      </c>
      <c r="B246" s="9" t="s">
        <v>30</v>
      </c>
      <c r="C246" s="9" t="s">
        <v>208</v>
      </c>
      <c r="D246" s="9" t="s">
        <v>483</v>
      </c>
      <c r="E246" s="9" t="s">
        <v>480</v>
      </c>
      <c r="F246" s="9" t="s">
        <v>484</v>
      </c>
      <c r="G246" s="9" t="n">
        <v>27.6</v>
      </c>
      <c r="H246" s="9" t="s">
        <v>36</v>
      </c>
      <c r="I246" s="9"/>
      <c r="J246" s="9"/>
      <c r="K246" s="9" t="s">
        <v>482</v>
      </c>
      <c r="L246" s="0" t="n">
        <v>2003</v>
      </c>
      <c r="M246" s="9" t="s">
        <v>38</v>
      </c>
      <c r="N246" s="11" t="s">
        <v>445</v>
      </c>
      <c r="O246" s="11" t="s">
        <v>446</v>
      </c>
      <c r="P246" s="9" t="s">
        <v>39</v>
      </c>
      <c r="Q246" s="9" t="s">
        <v>110</v>
      </c>
      <c r="R246" s="9" t="s">
        <v>41</v>
      </c>
      <c r="S246" s="9" t="s">
        <v>447</v>
      </c>
      <c r="T246" s="9" t="s">
        <v>233</v>
      </c>
      <c r="U246" s="9" t="n">
        <v>15</v>
      </c>
      <c r="V246" s="9" t="n">
        <v>15</v>
      </c>
      <c r="W246" s="9" t="n">
        <f aca="false">AVERAGE(70,80)</f>
        <v>75</v>
      </c>
      <c r="X246" s="9" t="n">
        <f aca="false">AVERAGE(5000,6500)</f>
        <v>5750</v>
      </c>
      <c r="Y246" s="9" t="n">
        <f aca="false">W246+X246</f>
        <v>5825</v>
      </c>
      <c r="Z246" s="9"/>
      <c r="AA246" s="12" t="n">
        <v>0.24</v>
      </c>
      <c r="AB246" s="12"/>
      <c r="AC246" s="12" t="n">
        <v>1.84</v>
      </c>
      <c r="AD246" s="12" t="n">
        <v>0.4416</v>
      </c>
    </row>
    <row r="247" customFormat="false" ht="13.8" hidden="false" customHeight="false" outlineLevel="0" collapsed="false">
      <c r="A247" s="9" t="n">
        <v>246</v>
      </c>
      <c r="B247" s="9" t="s">
        <v>30</v>
      </c>
      <c r="C247" s="9" t="s">
        <v>208</v>
      </c>
      <c r="D247" s="9" t="s">
        <v>485</v>
      </c>
      <c r="E247" s="9" t="s">
        <v>480</v>
      </c>
      <c r="F247" s="9" t="s">
        <v>484</v>
      </c>
      <c r="G247" s="9" t="n">
        <v>15.6</v>
      </c>
      <c r="H247" s="9" t="s">
        <v>36</v>
      </c>
      <c r="I247" s="9"/>
      <c r="J247" s="9"/>
      <c r="K247" s="9" t="s">
        <v>482</v>
      </c>
      <c r="L247" s="0" t="n">
        <v>2003</v>
      </c>
      <c r="M247" s="9" t="s">
        <v>38</v>
      </c>
      <c r="N247" s="11" t="s">
        <v>445</v>
      </c>
      <c r="O247" s="11" t="s">
        <v>446</v>
      </c>
      <c r="P247" s="9" t="s">
        <v>39</v>
      </c>
      <c r="Q247" s="9" t="s">
        <v>110</v>
      </c>
      <c r="R247" s="9" t="s">
        <v>41</v>
      </c>
      <c r="S247" s="9" t="s">
        <v>447</v>
      </c>
      <c r="T247" s="9" t="s">
        <v>233</v>
      </c>
      <c r="U247" s="9" t="n">
        <v>15</v>
      </c>
      <c r="V247" s="9" t="n">
        <v>15</v>
      </c>
      <c r="W247" s="9" t="n">
        <f aca="false">AVERAGE(130,100)</f>
        <v>115</v>
      </c>
      <c r="X247" s="9" t="n">
        <f aca="false">AVERAGE(4300,6200)</f>
        <v>5250</v>
      </c>
      <c r="Y247" s="9" t="n">
        <f aca="false">W247+X247</f>
        <v>5365</v>
      </c>
      <c r="Z247" s="9"/>
      <c r="AA247" s="12" t="n">
        <v>0.24</v>
      </c>
      <c r="AB247" s="12"/>
      <c r="AC247" s="12" t="n">
        <v>1.04</v>
      </c>
      <c r="AD247" s="12" t="n">
        <v>0.2496</v>
      </c>
    </row>
    <row r="248" customFormat="false" ht="13.8" hidden="false" customHeight="false" outlineLevel="0" collapsed="false">
      <c r="A248" s="9" t="n">
        <v>247</v>
      </c>
      <c r="B248" s="9" t="s">
        <v>30</v>
      </c>
      <c r="C248" s="9" t="s">
        <v>208</v>
      </c>
      <c r="D248" s="9" t="s">
        <v>486</v>
      </c>
      <c r="E248" s="9" t="s">
        <v>480</v>
      </c>
      <c r="F248" s="9" t="s">
        <v>484</v>
      </c>
      <c r="G248" s="9" t="n">
        <v>14.6</v>
      </c>
      <c r="H248" s="9" t="s">
        <v>36</v>
      </c>
      <c r="I248" s="9"/>
      <c r="J248" s="9"/>
      <c r="K248" s="9" t="s">
        <v>482</v>
      </c>
      <c r="L248" s="0" t="n">
        <v>2003</v>
      </c>
      <c r="M248" s="9" t="s">
        <v>38</v>
      </c>
      <c r="N248" s="11" t="s">
        <v>445</v>
      </c>
      <c r="O248" s="11" t="s">
        <v>446</v>
      </c>
      <c r="P248" s="9" t="s">
        <v>39</v>
      </c>
      <c r="Q248" s="9" t="s">
        <v>110</v>
      </c>
      <c r="R248" s="9" t="s">
        <v>41</v>
      </c>
      <c r="S248" s="9" t="s">
        <v>447</v>
      </c>
      <c r="T248" s="9" t="s">
        <v>233</v>
      </c>
      <c r="U248" s="9" t="n">
        <v>15</v>
      </c>
      <c r="V248" s="9" t="n">
        <v>15</v>
      </c>
      <c r="W248" s="16" t="n">
        <f aca="false">AVERAGE(230,245)</f>
        <v>237.5</v>
      </c>
      <c r="X248" s="9" t="n">
        <f aca="false">AVERAGE(6000,5500)</f>
        <v>5750</v>
      </c>
      <c r="Y248" s="9" t="n">
        <f aca="false">W248+X248</f>
        <v>5987.5</v>
      </c>
      <c r="Z248" s="9"/>
      <c r="AA248" s="12" t="n">
        <v>0.24</v>
      </c>
      <c r="AB248" s="12"/>
      <c r="AC248" s="12" t="n">
        <v>0.973333333333333</v>
      </c>
      <c r="AD248" s="12" t="n">
        <v>0.2336</v>
      </c>
    </row>
    <row r="249" customFormat="false" ht="13.8" hidden="false" customHeight="false" outlineLevel="0" collapsed="false">
      <c r="A249" s="9" t="n">
        <v>248</v>
      </c>
      <c r="B249" s="9" t="s">
        <v>30</v>
      </c>
      <c r="C249" s="9" t="s">
        <v>208</v>
      </c>
      <c r="D249" s="9" t="s">
        <v>487</v>
      </c>
      <c r="E249" s="9" t="s">
        <v>480</v>
      </c>
      <c r="F249" s="9" t="s">
        <v>484</v>
      </c>
      <c r="G249" s="9" t="n">
        <v>11</v>
      </c>
      <c r="H249" s="9" t="s">
        <v>36</v>
      </c>
      <c r="I249" s="9"/>
      <c r="J249" s="9"/>
      <c r="K249" s="9" t="s">
        <v>482</v>
      </c>
      <c r="L249" s="0" t="n">
        <v>2003</v>
      </c>
      <c r="M249" s="9" t="s">
        <v>38</v>
      </c>
      <c r="N249" s="11" t="s">
        <v>445</v>
      </c>
      <c r="O249" s="11" t="s">
        <v>446</v>
      </c>
      <c r="P249" s="9" t="s">
        <v>39</v>
      </c>
      <c r="Q249" s="9" t="s">
        <v>110</v>
      </c>
      <c r="R249" s="9" t="s">
        <v>41</v>
      </c>
      <c r="S249" s="9" t="s">
        <v>447</v>
      </c>
      <c r="T249" s="9" t="s">
        <v>233</v>
      </c>
      <c r="U249" s="9" t="n">
        <v>15</v>
      </c>
      <c r="V249" s="9" t="n">
        <v>15</v>
      </c>
      <c r="W249" s="16" t="n">
        <f aca="false">AVERAGE(160,160)</f>
        <v>160</v>
      </c>
      <c r="X249" s="9" t="n">
        <f aca="false">AVERAGE(4200,5100)</f>
        <v>4650</v>
      </c>
      <c r="Y249" s="9" t="n">
        <f aca="false">W249+X249</f>
        <v>4810</v>
      </c>
      <c r="Z249" s="9"/>
      <c r="AA249" s="12" t="n">
        <v>0.24</v>
      </c>
      <c r="AB249" s="12"/>
      <c r="AC249" s="12" t="n">
        <v>0.733333333333333</v>
      </c>
      <c r="AD249" s="12" t="n">
        <v>0.176</v>
      </c>
    </row>
    <row r="250" customFormat="false" ht="13.8" hidden="false" customHeight="false" outlineLevel="0" collapsed="false">
      <c r="A250" s="9" t="n">
        <v>249</v>
      </c>
      <c r="B250" s="9" t="s">
        <v>30</v>
      </c>
      <c r="C250" s="9" t="s">
        <v>208</v>
      </c>
      <c r="D250" s="9" t="s">
        <v>488</v>
      </c>
      <c r="E250" s="9" t="s">
        <v>489</v>
      </c>
      <c r="F250" s="9" t="s">
        <v>490</v>
      </c>
      <c r="G250" s="9" t="n">
        <v>14</v>
      </c>
      <c r="H250" s="9" t="s">
        <v>36</v>
      </c>
      <c r="I250" s="9"/>
      <c r="J250" s="9"/>
      <c r="K250" s="9" t="s">
        <v>491</v>
      </c>
      <c r="L250" s="0" t="n">
        <v>2011</v>
      </c>
      <c r="M250" s="9" t="s">
        <v>38</v>
      </c>
      <c r="N250" s="11" t="n">
        <v>-1.5</v>
      </c>
      <c r="O250" s="11" t="n">
        <v>120.033333333333</v>
      </c>
      <c r="P250" s="9" t="s">
        <v>39</v>
      </c>
      <c r="Q250" s="9" t="s">
        <v>110</v>
      </c>
      <c r="R250" s="9" t="s">
        <v>41</v>
      </c>
      <c r="S250" s="9" t="s">
        <v>492</v>
      </c>
      <c r="T250" s="9" t="s">
        <v>112</v>
      </c>
      <c r="U250" s="9" t="n">
        <f aca="false">2011-(AVERAGE(1993,1996,1999))</f>
        <v>15</v>
      </c>
      <c r="V250" s="9" t="n">
        <f aca="false">2011-(AVERAGE(1993,1996,1999))</f>
        <v>15</v>
      </c>
      <c r="W250" s="9" t="n">
        <v>428</v>
      </c>
      <c r="X250" s="9" t="n">
        <v>1047</v>
      </c>
      <c r="Y250" s="9" t="n">
        <f aca="false">W250+X250</f>
        <v>1475</v>
      </c>
      <c r="Z250" s="9"/>
      <c r="AA250" s="12" t="n">
        <f aca="false">AB250/G250</f>
        <v>0.314285714285714</v>
      </c>
      <c r="AB250" s="12" t="n">
        <v>4.4</v>
      </c>
      <c r="AC250" s="12" t="n">
        <f aca="false">G250/V250</f>
        <v>0.933333333333333</v>
      </c>
      <c r="AD250" s="12" t="n">
        <f aca="false">AB250/V250</f>
        <v>0.293333333333333</v>
      </c>
    </row>
    <row r="251" customFormat="false" ht="13.8" hidden="false" customHeight="false" outlineLevel="0" collapsed="false">
      <c r="A251" s="9" t="n">
        <v>250</v>
      </c>
      <c r="B251" s="9" t="s">
        <v>30</v>
      </c>
      <c r="C251" s="9" t="s">
        <v>208</v>
      </c>
      <c r="D251" s="9" t="s">
        <v>493</v>
      </c>
      <c r="E251" s="9" t="s">
        <v>489</v>
      </c>
      <c r="F251" s="9" t="s">
        <v>490</v>
      </c>
      <c r="G251" s="9" t="n">
        <v>47.6</v>
      </c>
      <c r="H251" s="9" t="s">
        <v>36</v>
      </c>
      <c r="I251" s="9"/>
      <c r="J251" s="9"/>
      <c r="K251" s="9" t="s">
        <v>491</v>
      </c>
      <c r="L251" s="0" t="n">
        <v>2011</v>
      </c>
      <c r="M251" s="9" t="s">
        <v>38</v>
      </c>
      <c r="N251" s="11" t="n">
        <v>-1.5</v>
      </c>
      <c r="O251" s="11" t="n">
        <v>120.033333333333</v>
      </c>
      <c r="P251" s="9" t="s">
        <v>39</v>
      </c>
      <c r="Q251" s="9" t="s">
        <v>110</v>
      </c>
      <c r="R251" s="9" t="s">
        <v>41</v>
      </c>
      <c r="S251" s="9" t="s">
        <v>492</v>
      </c>
      <c r="T251" s="9" t="s">
        <v>112</v>
      </c>
      <c r="U251" s="9" t="n">
        <f aca="false">2011-(AVERAGE(1989,1999,1991))</f>
        <v>18</v>
      </c>
      <c r="V251" s="9" t="n">
        <f aca="false">2011-(AVERAGE(1989,1999,1991))</f>
        <v>18</v>
      </c>
      <c r="W251" s="9" t="n">
        <v>357</v>
      </c>
      <c r="X251" s="9" t="n">
        <v>1384</v>
      </c>
      <c r="Y251" s="9" t="n">
        <f aca="false">W251+X251</f>
        <v>1741</v>
      </c>
      <c r="Z251" s="9"/>
      <c r="AA251" s="12" t="n">
        <f aca="false">AB251/G251</f>
        <v>0.205882352941176</v>
      </c>
      <c r="AB251" s="12" t="n">
        <v>9.8</v>
      </c>
      <c r="AC251" s="12" t="n">
        <f aca="false">G251/V251</f>
        <v>2.64444444444444</v>
      </c>
      <c r="AD251" s="12" t="n">
        <f aca="false">AB251/V251</f>
        <v>0.544444444444444</v>
      </c>
    </row>
    <row r="252" customFormat="false" ht="28.35" hidden="false" customHeight="false" outlineLevel="0" collapsed="false">
      <c r="A252" s="9" t="n">
        <v>251</v>
      </c>
      <c r="B252" s="9" t="s">
        <v>59</v>
      </c>
      <c r="C252" s="9" t="s">
        <v>60</v>
      </c>
      <c r="D252" s="9" t="s">
        <v>494</v>
      </c>
      <c r="E252" s="9" t="s">
        <v>495</v>
      </c>
      <c r="F252" s="13" t="s">
        <v>496</v>
      </c>
      <c r="G252" s="9" t="n">
        <f aca="false">3.6+0.46</f>
        <v>4.06</v>
      </c>
      <c r="H252" s="9" t="s">
        <v>230</v>
      </c>
      <c r="I252" s="9" t="n">
        <f aca="false">G252*0.47</f>
        <v>1.9082</v>
      </c>
      <c r="J252" s="9" t="s">
        <v>36</v>
      </c>
      <c r="K252" s="9" t="s">
        <v>497</v>
      </c>
      <c r="L252" s="0" t="n">
        <v>1986</v>
      </c>
      <c r="M252" s="9" t="s">
        <v>38</v>
      </c>
      <c r="N252" s="11" t="n">
        <v>18</v>
      </c>
      <c r="O252" s="11" t="s">
        <v>498</v>
      </c>
      <c r="P252" s="9" t="s">
        <v>39</v>
      </c>
      <c r="Q252" s="9" t="s">
        <v>40</v>
      </c>
      <c r="R252" s="9" t="s">
        <v>41</v>
      </c>
      <c r="S252" s="9" t="s">
        <v>192</v>
      </c>
      <c r="T252" s="9" t="s">
        <v>112</v>
      </c>
      <c r="U252" s="9" t="n">
        <v>4</v>
      </c>
      <c r="V252" s="9" t="n">
        <v>1</v>
      </c>
      <c r="W252" s="16" t="n">
        <f aca="false">(100/0.6)*(100/0.25)*(0.6/3)</f>
        <v>13333.3333333333</v>
      </c>
      <c r="X252" s="16"/>
      <c r="Y252" s="9" t="n">
        <f aca="false">W252+X252</f>
        <v>13333.3333333333</v>
      </c>
      <c r="Z252" s="9"/>
      <c r="AA252" s="12" t="n">
        <v>0.24</v>
      </c>
      <c r="AB252" s="12"/>
      <c r="AC252" s="12" t="n">
        <f aca="false">I252/V252</f>
        <v>1.9082</v>
      </c>
      <c r="AD252" s="12" t="n">
        <f aca="false">(I252/V252)*AA252</f>
        <v>0.457968</v>
      </c>
    </row>
    <row r="253" customFormat="false" ht="28.35" hidden="false" customHeight="false" outlineLevel="0" collapsed="false">
      <c r="A253" s="9" t="n">
        <v>252</v>
      </c>
      <c r="B253" s="9" t="s">
        <v>59</v>
      </c>
      <c r="C253" s="9" t="s">
        <v>60</v>
      </c>
      <c r="D253" s="9" t="s">
        <v>499</v>
      </c>
      <c r="E253" s="9" t="s">
        <v>495</v>
      </c>
      <c r="F253" s="13" t="s">
        <v>496</v>
      </c>
      <c r="G253" s="9" t="n">
        <f aca="false">3.7+0.5</f>
        <v>4.2</v>
      </c>
      <c r="H253" s="9" t="s">
        <v>230</v>
      </c>
      <c r="I253" s="9" t="n">
        <f aca="false">G253*0.47</f>
        <v>1.974</v>
      </c>
      <c r="J253" s="9" t="s">
        <v>36</v>
      </c>
      <c r="K253" s="9" t="s">
        <v>497</v>
      </c>
      <c r="L253" s="0" t="n">
        <v>1986</v>
      </c>
      <c r="M253" s="9" t="s">
        <v>38</v>
      </c>
      <c r="N253" s="11" t="n">
        <v>18</v>
      </c>
      <c r="O253" s="11" t="s">
        <v>498</v>
      </c>
      <c r="P253" s="9" t="s">
        <v>39</v>
      </c>
      <c r="Q253" s="9" t="s">
        <v>40</v>
      </c>
      <c r="R253" s="9" t="s">
        <v>41</v>
      </c>
      <c r="S253" s="9" t="s">
        <v>192</v>
      </c>
      <c r="T253" s="9" t="s">
        <v>112</v>
      </c>
      <c r="U253" s="9" t="n">
        <v>4</v>
      </c>
      <c r="V253" s="9" t="n">
        <v>1</v>
      </c>
      <c r="W253" s="16" t="n">
        <f aca="false">(100/0.6)*(100/0.25)*(0.6/3)</f>
        <v>13333.3333333333</v>
      </c>
      <c r="X253" s="9"/>
      <c r="Y253" s="9" t="n">
        <f aca="false">W253+X253</f>
        <v>13333.3333333333</v>
      </c>
      <c r="Z253" s="9"/>
      <c r="AA253" s="12" t="n">
        <v>0.24</v>
      </c>
      <c r="AB253" s="12"/>
      <c r="AC253" s="12" t="n">
        <f aca="false">I253/V253</f>
        <v>1.974</v>
      </c>
      <c r="AD253" s="12" t="n">
        <f aca="false">(I253/V253)*AA253</f>
        <v>0.47376</v>
      </c>
    </row>
    <row r="254" customFormat="false" ht="28.35" hidden="false" customHeight="false" outlineLevel="0" collapsed="false">
      <c r="A254" s="9" t="n">
        <v>253</v>
      </c>
      <c r="B254" s="9" t="s">
        <v>59</v>
      </c>
      <c r="C254" s="9" t="s">
        <v>60</v>
      </c>
      <c r="D254" s="9" t="s">
        <v>500</v>
      </c>
      <c r="E254" s="9" t="s">
        <v>495</v>
      </c>
      <c r="F254" s="13" t="s">
        <v>496</v>
      </c>
      <c r="G254" s="9" t="n">
        <f aca="false">2.06+0.26</f>
        <v>2.32</v>
      </c>
      <c r="H254" s="9" t="s">
        <v>230</v>
      </c>
      <c r="I254" s="9" t="n">
        <f aca="false">G254*0.47</f>
        <v>1.0904</v>
      </c>
      <c r="J254" s="9" t="s">
        <v>36</v>
      </c>
      <c r="K254" s="9" t="s">
        <v>497</v>
      </c>
      <c r="L254" s="0" t="n">
        <v>1986</v>
      </c>
      <c r="M254" s="9" t="s">
        <v>38</v>
      </c>
      <c r="N254" s="11" t="n">
        <v>18</v>
      </c>
      <c r="O254" s="11" t="s">
        <v>498</v>
      </c>
      <c r="P254" s="9" t="s">
        <v>39</v>
      </c>
      <c r="Q254" s="9" t="s">
        <v>40</v>
      </c>
      <c r="R254" s="9" t="s">
        <v>41</v>
      </c>
      <c r="S254" s="9" t="s">
        <v>192</v>
      </c>
      <c r="T254" s="9" t="s">
        <v>112</v>
      </c>
      <c r="U254" s="9" t="n">
        <v>4</v>
      </c>
      <c r="V254" s="9" t="n">
        <v>1</v>
      </c>
      <c r="W254" s="16" t="n">
        <f aca="false">(100/0.6)*(100/0.25)*(0.6/5.4)</f>
        <v>7407.40740740741</v>
      </c>
      <c r="X254" s="9"/>
      <c r="Y254" s="9" t="n">
        <f aca="false">W254+X254</f>
        <v>7407.40740740741</v>
      </c>
      <c r="Z254" s="9"/>
      <c r="AA254" s="12" t="n">
        <v>0.24</v>
      </c>
      <c r="AB254" s="12"/>
      <c r="AC254" s="12" t="n">
        <f aca="false">I254/V254</f>
        <v>1.0904</v>
      </c>
      <c r="AD254" s="12" t="n">
        <f aca="false">(I254/V254)*AA254</f>
        <v>0.261696</v>
      </c>
    </row>
    <row r="255" customFormat="false" ht="28.35" hidden="false" customHeight="false" outlineLevel="0" collapsed="false">
      <c r="A255" s="9" t="n">
        <v>254</v>
      </c>
      <c r="B255" s="9" t="s">
        <v>59</v>
      </c>
      <c r="C255" s="9" t="s">
        <v>60</v>
      </c>
      <c r="D255" s="9" t="s">
        <v>501</v>
      </c>
      <c r="E255" s="9" t="s">
        <v>495</v>
      </c>
      <c r="F255" s="13" t="s">
        <v>496</v>
      </c>
      <c r="G255" s="9" t="n">
        <f aca="false">2.15+0.3</f>
        <v>2.45</v>
      </c>
      <c r="H255" s="9" t="s">
        <v>230</v>
      </c>
      <c r="I255" s="9" t="n">
        <f aca="false">G255*0.47</f>
        <v>1.1515</v>
      </c>
      <c r="J255" s="9" t="s">
        <v>36</v>
      </c>
      <c r="K255" s="9" t="s">
        <v>497</v>
      </c>
      <c r="L255" s="0" t="n">
        <v>1986</v>
      </c>
      <c r="M255" s="9" t="s">
        <v>38</v>
      </c>
      <c r="N255" s="11" t="n">
        <v>18</v>
      </c>
      <c r="O255" s="11" t="s">
        <v>498</v>
      </c>
      <c r="P255" s="9" t="s">
        <v>39</v>
      </c>
      <c r="Q255" s="9" t="s">
        <v>40</v>
      </c>
      <c r="R255" s="9" t="s">
        <v>41</v>
      </c>
      <c r="S255" s="9" t="s">
        <v>192</v>
      </c>
      <c r="T255" s="9" t="s">
        <v>112</v>
      </c>
      <c r="U255" s="9" t="n">
        <v>4</v>
      </c>
      <c r="V255" s="9" t="n">
        <v>1</v>
      </c>
      <c r="W255" s="16" t="n">
        <f aca="false">(100/0.6)*(100/0.25)*(0.6/5.4)</f>
        <v>7407.40740740741</v>
      </c>
      <c r="X255" s="9"/>
      <c r="Y255" s="9" t="n">
        <f aca="false">W255+X255</f>
        <v>7407.40740740741</v>
      </c>
      <c r="Z255" s="9"/>
      <c r="AA255" s="12" t="n">
        <v>0.24</v>
      </c>
      <c r="AB255" s="12"/>
      <c r="AC255" s="12" t="n">
        <f aca="false">I255/V255</f>
        <v>1.1515</v>
      </c>
      <c r="AD255" s="12" t="n">
        <f aca="false">(I255/V255)*AA255</f>
        <v>0.27636</v>
      </c>
    </row>
    <row r="256" customFormat="false" ht="28.35" hidden="false" customHeight="false" outlineLevel="0" collapsed="false">
      <c r="A256" s="9" t="n">
        <v>255</v>
      </c>
      <c r="B256" s="9" t="s">
        <v>59</v>
      </c>
      <c r="C256" s="9" t="s">
        <v>60</v>
      </c>
      <c r="D256" s="9" t="s">
        <v>502</v>
      </c>
      <c r="E256" s="9" t="s">
        <v>495</v>
      </c>
      <c r="F256" s="13" t="s">
        <v>496</v>
      </c>
      <c r="G256" s="9" t="n">
        <f aca="false">5.17+2.24</f>
        <v>7.41</v>
      </c>
      <c r="H256" s="9" t="s">
        <v>230</v>
      </c>
      <c r="I256" s="9" t="n">
        <f aca="false">G256*0.47</f>
        <v>3.4827</v>
      </c>
      <c r="J256" s="9" t="s">
        <v>36</v>
      </c>
      <c r="K256" s="9" t="s">
        <v>497</v>
      </c>
      <c r="L256" s="0" t="n">
        <v>1986</v>
      </c>
      <c r="M256" s="9" t="s">
        <v>38</v>
      </c>
      <c r="N256" s="11" t="n">
        <v>18</v>
      </c>
      <c r="O256" s="11" t="s">
        <v>498</v>
      </c>
      <c r="P256" s="9" t="s">
        <v>39</v>
      </c>
      <c r="Q256" s="9" t="s">
        <v>40</v>
      </c>
      <c r="R256" s="9" t="s">
        <v>41</v>
      </c>
      <c r="S256" s="9" t="s">
        <v>192</v>
      </c>
      <c r="T256" s="9" t="s">
        <v>112</v>
      </c>
      <c r="U256" s="9" t="n">
        <v>4</v>
      </c>
      <c r="V256" s="9" t="n">
        <v>1</v>
      </c>
      <c r="W256" s="16" t="n">
        <f aca="false">(100/0.6)*(100/0.25)*(0.6/3)</f>
        <v>13333.3333333333</v>
      </c>
      <c r="X256" s="9"/>
      <c r="Y256" s="9" t="n">
        <f aca="false">W256+X256</f>
        <v>13333.3333333333</v>
      </c>
      <c r="Z256" s="9"/>
      <c r="AA256" s="12" t="n">
        <v>0.24</v>
      </c>
      <c r="AB256" s="12"/>
      <c r="AC256" s="12" t="n">
        <f aca="false">I256/V256</f>
        <v>3.4827</v>
      </c>
      <c r="AD256" s="12" t="n">
        <f aca="false">(I256/V256)*AA256</f>
        <v>0.835848</v>
      </c>
    </row>
    <row r="257" customFormat="false" ht="28.35" hidden="false" customHeight="false" outlineLevel="0" collapsed="false">
      <c r="A257" s="9" t="n">
        <v>256</v>
      </c>
      <c r="B257" s="9" t="s">
        <v>59</v>
      </c>
      <c r="C257" s="9" t="s">
        <v>60</v>
      </c>
      <c r="D257" s="9" t="s">
        <v>503</v>
      </c>
      <c r="E257" s="9" t="s">
        <v>495</v>
      </c>
      <c r="F257" s="13" t="s">
        <v>496</v>
      </c>
      <c r="G257" s="9" t="n">
        <f aca="false">6.36+2.59</f>
        <v>8.95</v>
      </c>
      <c r="H257" s="9" t="s">
        <v>230</v>
      </c>
      <c r="I257" s="9" t="n">
        <f aca="false">G257*0.47</f>
        <v>4.2065</v>
      </c>
      <c r="J257" s="9" t="s">
        <v>36</v>
      </c>
      <c r="K257" s="9" t="s">
        <v>497</v>
      </c>
      <c r="L257" s="0" t="n">
        <v>1986</v>
      </c>
      <c r="M257" s="9" t="s">
        <v>38</v>
      </c>
      <c r="N257" s="11" t="n">
        <v>18</v>
      </c>
      <c r="O257" s="11" t="s">
        <v>498</v>
      </c>
      <c r="P257" s="9" t="s">
        <v>39</v>
      </c>
      <c r="Q257" s="9" t="s">
        <v>40</v>
      </c>
      <c r="R257" s="9" t="s">
        <v>41</v>
      </c>
      <c r="S257" s="9" t="s">
        <v>192</v>
      </c>
      <c r="T257" s="9" t="s">
        <v>112</v>
      </c>
      <c r="U257" s="9" t="n">
        <v>4</v>
      </c>
      <c r="V257" s="9" t="n">
        <v>1</v>
      </c>
      <c r="W257" s="16" t="n">
        <f aca="false">(100/0.6)*(100/0.25)*(0.6/3)</f>
        <v>13333.3333333333</v>
      </c>
      <c r="X257" s="9"/>
      <c r="Y257" s="9" t="n">
        <f aca="false">W257+X257</f>
        <v>13333.3333333333</v>
      </c>
      <c r="Z257" s="9"/>
      <c r="AA257" s="12" t="n">
        <v>0.24</v>
      </c>
      <c r="AB257" s="12"/>
      <c r="AC257" s="12" t="n">
        <f aca="false">I257/V257</f>
        <v>4.2065</v>
      </c>
      <c r="AD257" s="12" t="n">
        <f aca="false">(I257/V257)*AA257</f>
        <v>1.00956</v>
      </c>
    </row>
    <row r="258" customFormat="false" ht="28.35" hidden="false" customHeight="false" outlineLevel="0" collapsed="false">
      <c r="A258" s="9" t="n">
        <v>257</v>
      </c>
      <c r="B258" s="9" t="s">
        <v>59</v>
      </c>
      <c r="C258" s="9" t="s">
        <v>60</v>
      </c>
      <c r="D258" s="9" t="s">
        <v>504</v>
      </c>
      <c r="E258" s="9" t="s">
        <v>495</v>
      </c>
      <c r="F258" s="13" t="s">
        <v>496</v>
      </c>
      <c r="G258" s="9" t="n">
        <f aca="false">4.28+1.75</f>
        <v>6.03</v>
      </c>
      <c r="H258" s="9" t="s">
        <v>230</v>
      </c>
      <c r="I258" s="9" t="n">
        <f aca="false">G258*0.47</f>
        <v>2.8341</v>
      </c>
      <c r="J258" s="9" t="s">
        <v>36</v>
      </c>
      <c r="K258" s="9" t="s">
        <v>497</v>
      </c>
      <c r="L258" s="0" t="n">
        <v>1986</v>
      </c>
      <c r="M258" s="9" t="s">
        <v>38</v>
      </c>
      <c r="N258" s="11" t="n">
        <v>18</v>
      </c>
      <c r="O258" s="11" t="s">
        <v>498</v>
      </c>
      <c r="P258" s="9" t="s">
        <v>39</v>
      </c>
      <c r="Q258" s="9" t="s">
        <v>40</v>
      </c>
      <c r="R258" s="9" t="s">
        <v>41</v>
      </c>
      <c r="S258" s="9" t="s">
        <v>192</v>
      </c>
      <c r="T258" s="9" t="s">
        <v>112</v>
      </c>
      <c r="U258" s="9" t="n">
        <v>4</v>
      </c>
      <c r="V258" s="9" t="n">
        <v>1</v>
      </c>
      <c r="W258" s="16" t="n">
        <f aca="false">(100/0.6)*(100/0.25)*(0.6/5.4)</f>
        <v>7407.40740740741</v>
      </c>
      <c r="X258" s="9"/>
      <c r="Y258" s="9" t="n">
        <f aca="false">W258+X258</f>
        <v>7407.40740740741</v>
      </c>
      <c r="Z258" s="9"/>
      <c r="AA258" s="12" t="n">
        <v>0.24</v>
      </c>
      <c r="AB258" s="12"/>
      <c r="AC258" s="12" t="n">
        <f aca="false">I258/V258</f>
        <v>2.8341</v>
      </c>
      <c r="AD258" s="12" t="n">
        <f aca="false">(I258/V258)*AA258</f>
        <v>0.680184</v>
      </c>
    </row>
    <row r="259" customFormat="false" ht="28.35" hidden="false" customHeight="false" outlineLevel="0" collapsed="false">
      <c r="A259" s="9" t="n">
        <v>258</v>
      </c>
      <c r="B259" s="9" t="s">
        <v>59</v>
      </c>
      <c r="C259" s="9" t="s">
        <v>60</v>
      </c>
      <c r="D259" s="9" t="s">
        <v>505</v>
      </c>
      <c r="E259" s="9" t="s">
        <v>495</v>
      </c>
      <c r="F259" s="13" t="s">
        <v>496</v>
      </c>
      <c r="G259" s="9" t="n">
        <f aca="false">4.42+1.78</f>
        <v>6.2</v>
      </c>
      <c r="H259" s="9" t="s">
        <v>230</v>
      </c>
      <c r="I259" s="9" t="n">
        <f aca="false">G259*0.47</f>
        <v>2.914</v>
      </c>
      <c r="J259" s="9" t="s">
        <v>36</v>
      </c>
      <c r="K259" s="9" t="s">
        <v>497</v>
      </c>
      <c r="L259" s="0" t="n">
        <v>1986</v>
      </c>
      <c r="M259" s="9" t="s">
        <v>38</v>
      </c>
      <c r="N259" s="11" t="n">
        <v>18</v>
      </c>
      <c r="O259" s="11" t="s">
        <v>498</v>
      </c>
      <c r="P259" s="9" t="s">
        <v>39</v>
      </c>
      <c r="Q259" s="9" t="s">
        <v>40</v>
      </c>
      <c r="R259" s="9" t="s">
        <v>41</v>
      </c>
      <c r="S259" s="9" t="s">
        <v>192</v>
      </c>
      <c r="T259" s="9" t="s">
        <v>112</v>
      </c>
      <c r="U259" s="9" t="n">
        <v>4</v>
      </c>
      <c r="V259" s="9" t="n">
        <v>1</v>
      </c>
      <c r="W259" s="16" t="n">
        <f aca="false">(100/0.6)*(100/0.25)*(0.6/5.4)</f>
        <v>7407.40740740741</v>
      </c>
      <c r="X259" s="9"/>
      <c r="Y259" s="9" t="n">
        <f aca="false">W259+X259</f>
        <v>7407.40740740741</v>
      </c>
      <c r="Z259" s="9"/>
      <c r="AA259" s="12" t="n">
        <v>0.24</v>
      </c>
      <c r="AB259" s="12"/>
      <c r="AC259" s="12" t="n">
        <f aca="false">I259/V259</f>
        <v>2.914</v>
      </c>
      <c r="AD259" s="12" t="n">
        <f aca="false">(I259/V259)*AA259</f>
        <v>0.69936</v>
      </c>
    </row>
    <row r="260" customFormat="false" ht="28.35" hidden="false" customHeight="false" outlineLevel="0" collapsed="false">
      <c r="A260" s="9" t="n">
        <v>259</v>
      </c>
      <c r="B260" s="9" t="s">
        <v>59</v>
      </c>
      <c r="C260" s="9" t="s">
        <v>60</v>
      </c>
      <c r="D260" s="9" t="s">
        <v>506</v>
      </c>
      <c r="E260" s="9" t="s">
        <v>495</v>
      </c>
      <c r="F260" s="13" t="s">
        <v>496</v>
      </c>
      <c r="G260" s="9" t="n">
        <f aca="false">5.26+3.97</f>
        <v>9.23</v>
      </c>
      <c r="H260" s="9" t="s">
        <v>230</v>
      </c>
      <c r="I260" s="9" t="n">
        <f aca="false">G260*0.47</f>
        <v>4.3381</v>
      </c>
      <c r="J260" s="9" t="s">
        <v>36</v>
      </c>
      <c r="K260" s="9" t="s">
        <v>497</v>
      </c>
      <c r="L260" s="0" t="n">
        <v>1986</v>
      </c>
      <c r="M260" s="9" t="s">
        <v>38</v>
      </c>
      <c r="N260" s="11" t="n">
        <v>18</v>
      </c>
      <c r="O260" s="11" t="s">
        <v>498</v>
      </c>
      <c r="P260" s="9" t="s">
        <v>39</v>
      </c>
      <c r="Q260" s="9" t="s">
        <v>40</v>
      </c>
      <c r="R260" s="9" t="s">
        <v>41</v>
      </c>
      <c r="S260" s="9" t="s">
        <v>192</v>
      </c>
      <c r="T260" s="9" t="s">
        <v>112</v>
      </c>
      <c r="U260" s="9" t="n">
        <v>4</v>
      </c>
      <c r="V260" s="9" t="n">
        <v>1</v>
      </c>
      <c r="W260" s="16" t="n">
        <f aca="false">(100/0.6)*(100/0.25)*(0.6/3)</f>
        <v>13333.3333333333</v>
      </c>
      <c r="X260" s="9"/>
      <c r="Y260" s="9" t="n">
        <f aca="false">W260+X260</f>
        <v>13333.3333333333</v>
      </c>
      <c r="Z260" s="9"/>
      <c r="AA260" s="12" t="n">
        <v>0.24</v>
      </c>
      <c r="AB260" s="12"/>
      <c r="AC260" s="12" t="n">
        <f aca="false">I260/V260</f>
        <v>4.3381</v>
      </c>
      <c r="AD260" s="12" t="n">
        <f aca="false">(I260/V260)*AA260</f>
        <v>1.041144</v>
      </c>
    </row>
    <row r="261" customFormat="false" ht="28.35" hidden="false" customHeight="false" outlineLevel="0" collapsed="false">
      <c r="A261" s="9" t="n">
        <v>260</v>
      </c>
      <c r="B261" s="9" t="s">
        <v>59</v>
      </c>
      <c r="C261" s="9" t="s">
        <v>60</v>
      </c>
      <c r="D261" s="9" t="s">
        <v>507</v>
      </c>
      <c r="E261" s="9" t="s">
        <v>495</v>
      </c>
      <c r="F261" s="13" t="s">
        <v>496</v>
      </c>
      <c r="G261" s="9" t="n">
        <f aca="false">6.98+5.39</f>
        <v>12.37</v>
      </c>
      <c r="H261" s="9" t="s">
        <v>230</v>
      </c>
      <c r="I261" s="9" t="n">
        <f aca="false">G261*0.47</f>
        <v>5.8139</v>
      </c>
      <c r="J261" s="9" t="s">
        <v>36</v>
      </c>
      <c r="K261" s="9" t="s">
        <v>497</v>
      </c>
      <c r="L261" s="0" t="n">
        <v>1986</v>
      </c>
      <c r="M261" s="9" t="s">
        <v>38</v>
      </c>
      <c r="N261" s="11" t="n">
        <v>18</v>
      </c>
      <c r="O261" s="11" t="s">
        <v>498</v>
      </c>
      <c r="P261" s="9" t="s">
        <v>39</v>
      </c>
      <c r="Q261" s="9" t="s">
        <v>40</v>
      </c>
      <c r="R261" s="9" t="s">
        <v>41</v>
      </c>
      <c r="S261" s="9" t="s">
        <v>192</v>
      </c>
      <c r="T261" s="9" t="s">
        <v>112</v>
      </c>
      <c r="U261" s="9" t="n">
        <v>4</v>
      </c>
      <c r="V261" s="9" t="n">
        <v>1</v>
      </c>
      <c r="W261" s="16" t="n">
        <f aca="false">(100/0.6)*(100/0.25)*(0.6/3)</f>
        <v>13333.3333333333</v>
      </c>
      <c r="X261" s="9"/>
      <c r="Y261" s="9" t="n">
        <f aca="false">W261+X261</f>
        <v>13333.3333333333</v>
      </c>
      <c r="Z261" s="9"/>
      <c r="AA261" s="12" t="n">
        <v>0.24</v>
      </c>
      <c r="AB261" s="12"/>
      <c r="AC261" s="12" t="n">
        <f aca="false">I261/V261</f>
        <v>5.8139</v>
      </c>
      <c r="AD261" s="12" t="n">
        <f aca="false">(I261/V261)*AA261</f>
        <v>1.395336</v>
      </c>
    </row>
    <row r="262" customFormat="false" ht="28.35" hidden="false" customHeight="false" outlineLevel="0" collapsed="false">
      <c r="A262" s="9" t="n">
        <v>261</v>
      </c>
      <c r="B262" s="9" t="s">
        <v>59</v>
      </c>
      <c r="C262" s="9" t="s">
        <v>60</v>
      </c>
      <c r="D262" s="9" t="s">
        <v>508</v>
      </c>
      <c r="E262" s="9" t="s">
        <v>495</v>
      </c>
      <c r="F262" s="13" t="s">
        <v>496</v>
      </c>
      <c r="G262" s="9" t="n">
        <f aca="false">3.91+3.24</f>
        <v>7.15</v>
      </c>
      <c r="H262" s="9" t="s">
        <v>230</v>
      </c>
      <c r="I262" s="9" t="n">
        <f aca="false">G262*0.47</f>
        <v>3.3605</v>
      </c>
      <c r="J262" s="9" t="s">
        <v>36</v>
      </c>
      <c r="K262" s="9" t="s">
        <v>497</v>
      </c>
      <c r="L262" s="0" t="n">
        <v>1986</v>
      </c>
      <c r="M262" s="9" t="s">
        <v>38</v>
      </c>
      <c r="N262" s="11" t="n">
        <v>18</v>
      </c>
      <c r="O262" s="11" t="s">
        <v>498</v>
      </c>
      <c r="P262" s="9" t="s">
        <v>39</v>
      </c>
      <c r="Q262" s="9" t="s">
        <v>40</v>
      </c>
      <c r="R262" s="9" t="s">
        <v>41</v>
      </c>
      <c r="S262" s="9" t="s">
        <v>192</v>
      </c>
      <c r="T262" s="9" t="s">
        <v>112</v>
      </c>
      <c r="U262" s="9" t="n">
        <v>4</v>
      </c>
      <c r="V262" s="9" t="n">
        <v>1</v>
      </c>
      <c r="W262" s="16" t="n">
        <f aca="false">(100/0.6)*(100/0.25)*(0.6/5.4)</f>
        <v>7407.40740740741</v>
      </c>
      <c r="X262" s="9"/>
      <c r="Y262" s="9" t="n">
        <f aca="false">W262+X262</f>
        <v>7407.40740740741</v>
      </c>
      <c r="Z262" s="9"/>
      <c r="AA262" s="12" t="n">
        <v>0.24</v>
      </c>
      <c r="AB262" s="12"/>
      <c r="AC262" s="12" t="n">
        <f aca="false">I262/V262</f>
        <v>3.3605</v>
      </c>
      <c r="AD262" s="12" t="n">
        <f aca="false">(I262/V262)*AA262</f>
        <v>0.80652</v>
      </c>
    </row>
    <row r="263" customFormat="false" ht="28.35" hidden="false" customHeight="false" outlineLevel="0" collapsed="false">
      <c r="A263" s="9" t="n">
        <v>262</v>
      </c>
      <c r="B263" s="9" t="s">
        <v>59</v>
      </c>
      <c r="C263" s="9" t="s">
        <v>60</v>
      </c>
      <c r="D263" s="9" t="s">
        <v>509</v>
      </c>
      <c r="E263" s="9" t="s">
        <v>495</v>
      </c>
      <c r="F263" s="13" t="s">
        <v>496</v>
      </c>
      <c r="G263" s="9" t="n">
        <f aca="false">4.27+3.41</f>
        <v>7.68</v>
      </c>
      <c r="H263" s="9" t="s">
        <v>230</v>
      </c>
      <c r="I263" s="9" t="n">
        <f aca="false">G263*0.47</f>
        <v>3.6096</v>
      </c>
      <c r="J263" s="9" t="s">
        <v>36</v>
      </c>
      <c r="K263" s="9" t="s">
        <v>497</v>
      </c>
      <c r="L263" s="0" t="n">
        <v>1986</v>
      </c>
      <c r="M263" s="9" t="s">
        <v>38</v>
      </c>
      <c r="N263" s="11" t="n">
        <v>18</v>
      </c>
      <c r="O263" s="11" t="s">
        <v>498</v>
      </c>
      <c r="P263" s="9" t="s">
        <v>39</v>
      </c>
      <c r="Q263" s="9" t="s">
        <v>40</v>
      </c>
      <c r="R263" s="9" t="s">
        <v>41</v>
      </c>
      <c r="S263" s="9" t="s">
        <v>192</v>
      </c>
      <c r="T263" s="9" t="s">
        <v>112</v>
      </c>
      <c r="U263" s="9" t="n">
        <v>4</v>
      </c>
      <c r="V263" s="9" t="n">
        <v>1</v>
      </c>
      <c r="W263" s="16" t="n">
        <f aca="false">(100/0.6)*(100/0.25)*(0.6/5.4)</f>
        <v>7407.40740740741</v>
      </c>
      <c r="X263" s="9"/>
      <c r="Y263" s="9" t="n">
        <f aca="false">W263+X263</f>
        <v>7407.40740740741</v>
      </c>
      <c r="Z263" s="9"/>
      <c r="AA263" s="12" t="n">
        <v>0.24</v>
      </c>
      <c r="AB263" s="12"/>
      <c r="AC263" s="12" t="n">
        <f aca="false">I263/V263</f>
        <v>3.6096</v>
      </c>
      <c r="AD263" s="12" t="n">
        <f aca="false">(I263/V263)*AA263</f>
        <v>0.866304</v>
      </c>
    </row>
    <row r="264" customFormat="false" ht="55.2" hidden="false" customHeight="false" outlineLevel="0" collapsed="false">
      <c r="A264" s="9" t="n">
        <v>263</v>
      </c>
      <c r="B264" s="9" t="s">
        <v>30</v>
      </c>
      <c r="C264" s="9" t="s">
        <v>115</v>
      </c>
      <c r="D264" s="9" t="s">
        <v>510</v>
      </c>
      <c r="E264" s="13" t="s">
        <v>511</v>
      </c>
      <c r="F264" s="9" t="s">
        <v>512</v>
      </c>
      <c r="G264" s="9" t="n">
        <v>61.9</v>
      </c>
      <c r="H264" s="9" t="s">
        <v>36</v>
      </c>
      <c r="I264" s="9"/>
      <c r="J264" s="9"/>
      <c r="K264" s="9" t="s">
        <v>513</v>
      </c>
      <c r="L264" s="0" t="n">
        <v>2000</v>
      </c>
      <c r="M264" s="9" t="s">
        <v>38</v>
      </c>
      <c r="N264" s="11" t="n">
        <v>-4.553771</v>
      </c>
      <c r="O264" s="11" t="n">
        <v>104.933045</v>
      </c>
      <c r="P264" s="9" t="s">
        <v>39</v>
      </c>
      <c r="Q264" s="9" t="s">
        <v>53</v>
      </c>
      <c r="R264" s="9" t="s">
        <v>41</v>
      </c>
      <c r="S264" s="9" t="s">
        <v>460</v>
      </c>
      <c r="T264" s="9" t="s">
        <v>112</v>
      </c>
      <c r="U264" s="9" t="n">
        <v>15</v>
      </c>
      <c r="V264" s="9" t="n">
        <v>15</v>
      </c>
      <c r="W264" s="9" t="n">
        <v>840</v>
      </c>
      <c r="X264" s="9"/>
      <c r="Y264" s="9" t="n">
        <f aca="false">W264+X264</f>
        <v>840</v>
      </c>
      <c r="Z264" s="9"/>
      <c r="AA264" s="12" t="n">
        <v>0.24</v>
      </c>
      <c r="AB264" s="12"/>
      <c r="AC264" s="12" t="n">
        <f aca="false">G264/V264</f>
        <v>4.12666666666667</v>
      </c>
      <c r="AD264" s="12" t="n">
        <f aca="false">(G264*AA264)/V264</f>
        <v>0.9904</v>
      </c>
    </row>
    <row r="265" customFormat="false" ht="55.2" hidden="false" customHeight="false" outlineLevel="0" collapsed="false">
      <c r="A265" s="9" t="n">
        <v>264</v>
      </c>
      <c r="B265" s="9" t="s">
        <v>30</v>
      </c>
      <c r="C265" s="9" t="s">
        <v>115</v>
      </c>
      <c r="D265" s="9" t="s">
        <v>510</v>
      </c>
      <c r="E265" s="13" t="s">
        <v>511</v>
      </c>
      <c r="F265" s="9" t="s">
        <v>512</v>
      </c>
      <c r="G265" s="9" t="n">
        <v>6.3</v>
      </c>
      <c r="H265" s="9" t="s">
        <v>36</v>
      </c>
      <c r="I265" s="9"/>
      <c r="J265" s="9"/>
      <c r="K265" s="9" t="s">
        <v>513</v>
      </c>
      <c r="L265" s="0" t="n">
        <v>2000</v>
      </c>
      <c r="M265" s="9" t="s">
        <v>38</v>
      </c>
      <c r="N265" s="11" t="n">
        <v>-4.553771</v>
      </c>
      <c r="O265" s="11" t="n">
        <v>104.933045</v>
      </c>
      <c r="P265" s="9" t="s">
        <v>39</v>
      </c>
      <c r="Q265" s="9" t="s">
        <v>53</v>
      </c>
      <c r="R265" s="9" t="s">
        <v>41</v>
      </c>
      <c r="S265" s="9" t="s">
        <v>460</v>
      </c>
      <c r="T265" s="9" t="s">
        <v>112</v>
      </c>
      <c r="U265" s="9" t="n">
        <v>15</v>
      </c>
      <c r="V265" s="9" t="n">
        <v>15</v>
      </c>
      <c r="W265" s="9" t="n">
        <v>260</v>
      </c>
      <c r="X265" s="9"/>
      <c r="Y265" s="9" t="n">
        <f aca="false">W265+X265</f>
        <v>260</v>
      </c>
      <c r="Z265" s="9"/>
      <c r="AA265" s="12" t="n">
        <v>0.24</v>
      </c>
      <c r="AB265" s="12"/>
      <c r="AC265" s="12" t="n">
        <f aca="false">G265/V265</f>
        <v>0.42</v>
      </c>
      <c r="AD265" s="12" t="n">
        <f aca="false">(G265*AA265)/V265</f>
        <v>0.1008</v>
      </c>
    </row>
    <row r="266" customFormat="false" ht="55.2" hidden="false" customHeight="false" outlineLevel="0" collapsed="false">
      <c r="A266" s="9" t="n">
        <v>265</v>
      </c>
      <c r="B266" s="9" t="s">
        <v>30</v>
      </c>
      <c r="C266" s="9" t="s">
        <v>115</v>
      </c>
      <c r="D266" s="9" t="s">
        <v>510</v>
      </c>
      <c r="E266" s="13" t="s">
        <v>511</v>
      </c>
      <c r="F266" s="9" t="s">
        <v>512</v>
      </c>
      <c r="G266" s="9" t="n">
        <v>34.1</v>
      </c>
      <c r="H266" s="9" t="s">
        <v>36</v>
      </c>
      <c r="I266" s="9"/>
      <c r="J266" s="9"/>
      <c r="K266" s="9" t="s">
        <v>513</v>
      </c>
      <c r="L266" s="0" t="n">
        <v>2000</v>
      </c>
      <c r="M266" s="9" t="s">
        <v>38</v>
      </c>
      <c r="N266" s="11" t="n">
        <v>-4.553771</v>
      </c>
      <c r="O266" s="11" t="n">
        <v>104.933045</v>
      </c>
      <c r="P266" s="9" t="s">
        <v>39</v>
      </c>
      <c r="Q266" s="9" t="s">
        <v>53</v>
      </c>
      <c r="R266" s="9" t="s">
        <v>41</v>
      </c>
      <c r="S266" s="9" t="s">
        <v>460</v>
      </c>
      <c r="T266" s="9" t="s">
        <v>112</v>
      </c>
      <c r="U266" s="9" t="n">
        <v>15</v>
      </c>
      <c r="V266" s="9" t="n">
        <v>15</v>
      </c>
      <c r="W266" s="9" t="n">
        <v>500</v>
      </c>
      <c r="X266" s="9"/>
      <c r="Y266" s="9" t="n">
        <f aca="false">W266+X266</f>
        <v>500</v>
      </c>
      <c r="Z266" s="9"/>
      <c r="AA266" s="12" t="n">
        <v>0.24</v>
      </c>
      <c r="AB266" s="12"/>
      <c r="AC266" s="12" t="n">
        <f aca="false">G266/V266</f>
        <v>2.27333333333333</v>
      </c>
      <c r="AD266" s="12" t="n">
        <f aca="false">(G266*AA266)/V266</f>
        <v>0.5456</v>
      </c>
    </row>
    <row r="267" customFormat="false" ht="55.2" hidden="false" customHeight="false" outlineLevel="0" collapsed="false">
      <c r="A267" s="9" t="n">
        <v>266</v>
      </c>
      <c r="B267" s="9" t="s">
        <v>30</v>
      </c>
      <c r="C267" s="9" t="s">
        <v>115</v>
      </c>
      <c r="D267" s="9" t="s">
        <v>510</v>
      </c>
      <c r="E267" s="13" t="s">
        <v>511</v>
      </c>
      <c r="F267" s="9" t="s">
        <v>512</v>
      </c>
      <c r="G267" s="9" t="n">
        <v>17.6</v>
      </c>
      <c r="H267" s="9" t="s">
        <v>36</v>
      </c>
      <c r="I267" s="9"/>
      <c r="J267" s="9"/>
      <c r="K267" s="9" t="s">
        <v>513</v>
      </c>
      <c r="L267" s="0" t="n">
        <v>2000</v>
      </c>
      <c r="M267" s="9" t="s">
        <v>38</v>
      </c>
      <c r="N267" s="11" t="n">
        <v>-4.553771</v>
      </c>
      <c r="O267" s="11" t="n">
        <v>104.933045</v>
      </c>
      <c r="P267" s="9" t="s">
        <v>39</v>
      </c>
      <c r="Q267" s="9" t="s">
        <v>53</v>
      </c>
      <c r="R267" s="9" t="s">
        <v>41</v>
      </c>
      <c r="S267" s="9" t="s">
        <v>460</v>
      </c>
      <c r="T267" s="9" t="s">
        <v>112</v>
      </c>
      <c r="U267" s="9" t="n">
        <v>15</v>
      </c>
      <c r="V267" s="9" t="n">
        <v>15</v>
      </c>
      <c r="W267" s="9" t="n">
        <v>660</v>
      </c>
      <c r="X267" s="9"/>
      <c r="Y267" s="9" t="n">
        <f aca="false">W267+X267</f>
        <v>660</v>
      </c>
      <c r="Z267" s="9"/>
      <c r="AA267" s="12" t="n">
        <v>0.24</v>
      </c>
      <c r="AB267" s="12"/>
      <c r="AC267" s="12" t="n">
        <f aca="false">G267/V267</f>
        <v>1.17333333333333</v>
      </c>
      <c r="AD267" s="12" t="n">
        <f aca="false">(G267*AA267)/V267</f>
        <v>0.2816</v>
      </c>
    </row>
    <row r="268" customFormat="false" ht="55.2" hidden="false" customHeight="false" outlineLevel="0" collapsed="false">
      <c r="A268" s="9" t="n">
        <v>267</v>
      </c>
      <c r="B268" s="9" t="s">
        <v>30</v>
      </c>
      <c r="C268" s="9" t="s">
        <v>115</v>
      </c>
      <c r="D268" s="9" t="s">
        <v>514</v>
      </c>
      <c r="E268" s="13" t="s">
        <v>511</v>
      </c>
      <c r="F268" s="9" t="s">
        <v>512</v>
      </c>
      <c r="G268" s="9" t="n">
        <v>14.4</v>
      </c>
      <c r="H268" s="9" t="s">
        <v>36</v>
      </c>
      <c r="I268" s="9"/>
      <c r="J268" s="9"/>
      <c r="K268" s="9" t="s">
        <v>513</v>
      </c>
      <c r="L268" s="0" t="n">
        <v>2000</v>
      </c>
      <c r="M268" s="9" t="s">
        <v>38</v>
      </c>
      <c r="N268" s="11" t="n">
        <v>-4.553771</v>
      </c>
      <c r="O268" s="11" t="n">
        <v>104.933045</v>
      </c>
      <c r="P268" s="9" t="s">
        <v>39</v>
      </c>
      <c r="Q268" s="9" t="s">
        <v>53</v>
      </c>
      <c r="R268" s="9" t="s">
        <v>41</v>
      </c>
      <c r="S268" s="9" t="s">
        <v>460</v>
      </c>
      <c r="T268" s="9" t="s">
        <v>112</v>
      </c>
      <c r="U268" s="9" t="n">
        <v>12</v>
      </c>
      <c r="V268" s="9" t="n">
        <v>12</v>
      </c>
      <c r="W268" s="9" t="n">
        <v>800</v>
      </c>
      <c r="X268" s="9"/>
      <c r="Y268" s="9" t="n">
        <f aca="false">W268+X268</f>
        <v>800</v>
      </c>
      <c r="Z268" s="9"/>
      <c r="AA268" s="12" t="n">
        <v>0.24</v>
      </c>
      <c r="AB268" s="12"/>
      <c r="AC268" s="12" t="n">
        <f aca="false">G268/V268</f>
        <v>1.2</v>
      </c>
      <c r="AD268" s="12" t="n">
        <f aca="false">(G268*AA268)/V268</f>
        <v>0.288</v>
      </c>
    </row>
    <row r="269" customFormat="false" ht="55.2" hidden="false" customHeight="false" outlineLevel="0" collapsed="false">
      <c r="A269" s="9" t="n">
        <v>268</v>
      </c>
      <c r="B269" s="9" t="s">
        <v>30</v>
      </c>
      <c r="C269" s="9" t="s">
        <v>115</v>
      </c>
      <c r="D269" s="9" t="s">
        <v>514</v>
      </c>
      <c r="E269" s="13" t="s">
        <v>511</v>
      </c>
      <c r="F269" s="9" t="s">
        <v>512</v>
      </c>
      <c r="G269" s="9" t="n">
        <v>21.6</v>
      </c>
      <c r="H269" s="9" t="s">
        <v>36</v>
      </c>
      <c r="I269" s="9"/>
      <c r="J269" s="9"/>
      <c r="K269" s="9" t="s">
        <v>513</v>
      </c>
      <c r="L269" s="0" t="n">
        <v>2000</v>
      </c>
      <c r="M269" s="9" t="s">
        <v>38</v>
      </c>
      <c r="N269" s="11" t="n">
        <v>-4.553771</v>
      </c>
      <c r="O269" s="11" t="n">
        <v>104.933045</v>
      </c>
      <c r="P269" s="9" t="s">
        <v>39</v>
      </c>
      <c r="Q269" s="9" t="s">
        <v>53</v>
      </c>
      <c r="R269" s="9" t="s">
        <v>41</v>
      </c>
      <c r="S269" s="9" t="s">
        <v>460</v>
      </c>
      <c r="T269" s="9" t="s">
        <v>112</v>
      </c>
      <c r="U269" s="9" t="n">
        <v>12</v>
      </c>
      <c r="V269" s="9" t="n">
        <v>12</v>
      </c>
      <c r="W269" s="9" t="n">
        <v>480</v>
      </c>
      <c r="X269" s="9"/>
      <c r="Y269" s="9" t="n">
        <f aca="false">W269+X269</f>
        <v>480</v>
      </c>
      <c r="Z269" s="9"/>
      <c r="AA269" s="12" t="n">
        <v>0.24</v>
      </c>
      <c r="AB269" s="12"/>
      <c r="AC269" s="12" t="n">
        <f aca="false">G269/V269</f>
        <v>1.8</v>
      </c>
      <c r="AD269" s="12" t="n">
        <f aca="false">(G269*AA269)/V269</f>
        <v>0.432</v>
      </c>
    </row>
    <row r="270" customFormat="false" ht="55.2" hidden="false" customHeight="false" outlineLevel="0" collapsed="false">
      <c r="A270" s="9" t="n">
        <v>269</v>
      </c>
      <c r="B270" s="9" t="s">
        <v>30</v>
      </c>
      <c r="C270" s="9" t="s">
        <v>115</v>
      </c>
      <c r="D270" s="9" t="s">
        <v>514</v>
      </c>
      <c r="E270" s="13" t="s">
        <v>511</v>
      </c>
      <c r="F270" s="9" t="s">
        <v>512</v>
      </c>
      <c r="G270" s="9" t="n">
        <v>23</v>
      </c>
      <c r="H270" s="9" t="s">
        <v>36</v>
      </c>
      <c r="I270" s="9"/>
      <c r="J270" s="9"/>
      <c r="K270" s="9" t="s">
        <v>513</v>
      </c>
      <c r="L270" s="0" t="n">
        <v>2000</v>
      </c>
      <c r="M270" s="9" t="s">
        <v>38</v>
      </c>
      <c r="N270" s="11" t="n">
        <v>-4.553771</v>
      </c>
      <c r="O270" s="11" t="n">
        <v>104.933045</v>
      </c>
      <c r="P270" s="9" t="s">
        <v>39</v>
      </c>
      <c r="Q270" s="9" t="s">
        <v>53</v>
      </c>
      <c r="R270" s="9" t="s">
        <v>41</v>
      </c>
      <c r="S270" s="9" t="s">
        <v>460</v>
      </c>
      <c r="T270" s="9" t="s">
        <v>112</v>
      </c>
      <c r="U270" s="9" t="n">
        <v>12</v>
      </c>
      <c r="V270" s="9" t="n">
        <v>12</v>
      </c>
      <c r="W270" s="9" t="n">
        <v>1180</v>
      </c>
      <c r="X270" s="9"/>
      <c r="Y270" s="9" t="n">
        <f aca="false">W270+X270</f>
        <v>1180</v>
      </c>
      <c r="Z270" s="9"/>
      <c r="AA270" s="12" t="n">
        <v>0.24</v>
      </c>
      <c r="AB270" s="12"/>
      <c r="AC270" s="12" t="n">
        <f aca="false">G270/V270</f>
        <v>1.91666666666667</v>
      </c>
      <c r="AD270" s="12" t="n">
        <f aca="false">(G270*AA270)/V270</f>
        <v>0.46</v>
      </c>
    </row>
    <row r="271" customFormat="false" ht="55.2" hidden="false" customHeight="false" outlineLevel="0" collapsed="false">
      <c r="A271" s="9" t="n">
        <v>270</v>
      </c>
      <c r="B271" s="9" t="s">
        <v>30</v>
      </c>
      <c r="C271" s="9" t="s">
        <v>115</v>
      </c>
      <c r="D271" s="9" t="s">
        <v>515</v>
      </c>
      <c r="E271" s="13" t="s">
        <v>511</v>
      </c>
      <c r="F271" s="9" t="s">
        <v>512</v>
      </c>
      <c r="G271" s="9" t="n">
        <v>34.8</v>
      </c>
      <c r="H271" s="9" t="s">
        <v>36</v>
      </c>
      <c r="I271" s="9"/>
      <c r="J271" s="9"/>
      <c r="K271" s="9" t="s">
        <v>513</v>
      </c>
      <c r="L271" s="0" t="n">
        <v>2000</v>
      </c>
      <c r="M271" s="9" t="s">
        <v>38</v>
      </c>
      <c r="N271" s="11" t="n">
        <v>-4.553771</v>
      </c>
      <c r="O271" s="11" t="n">
        <v>104.933045</v>
      </c>
      <c r="P271" s="9" t="s">
        <v>39</v>
      </c>
      <c r="Q271" s="9" t="s">
        <v>53</v>
      </c>
      <c r="R271" s="9" t="s">
        <v>41</v>
      </c>
      <c r="S271" s="9" t="s">
        <v>460</v>
      </c>
      <c r="T271" s="9" t="s">
        <v>112</v>
      </c>
      <c r="U271" s="9" t="n">
        <v>13</v>
      </c>
      <c r="V271" s="9" t="n">
        <v>13</v>
      </c>
      <c r="W271" s="9" t="n">
        <v>740</v>
      </c>
      <c r="X271" s="9"/>
      <c r="Y271" s="9" t="n">
        <f aca="false">W271+X271</f>
        <v>740</v>
      </c>
      <c r="Z271" s="9"/>
      <c r="AA271" s="12" t="n">
        <v>0.24</v>
      </c>
      <c r="AB271" s="12"/>
      <c r="AC271" s="12" t="n">
        <f aca="false">G271/V271</f>
        <v>2.67692307692308</v>
      </c>
      <c r="AD271" s="12" t="n">
        <f aca="false">(G271*AA271)/V271</f>
        <v>0.642461538461538</v>
      </c>
    </row>
    <row r="272" customFormat="false" ht="55.2" hidden="false" customHeight="false" outlineLevel="0" collapsed="false">
      <c r="A272" s="9" t="n">
        <v>271</v>
      </c>
      <c r="B272" s="9" t="s">
        <v>30</v>
      </c>
      <c r="C272" s="9" t="s">
        <v>115</v>
      </c>
      <c r="D272" s="9" t="s">
        <v>514</v>
      </c>
      <c r="E272" s="13" t="s">
        <v>511</v>
      </c>
      <c r="F272" s="9" t="s">
        <v>512</v>
      </c>
      <c r="G272" s="9" t="n">
        <v>24.9</v>
      </c>
      <c r="H272" s="9" t="s">
        <v>36</v>
      </c>
      <c r="I272" s="9"/>
      <c r="J272" s="9"/>
      <c r="K272" s="9" t="s">
        <v>513</v>
      </c>
      <c r="L272" s="0" t="n">
        <v>2000</v>
      </c>
      <c r="M272" s="9" t="s">
        <v>38</v>
      </c>
      <c r="N272" s="11" t="n">
        <v>-4.553771</v>
      </c>
      <c r="O272" s="11" t="n">
        <v>104.933045</v>
      </c>
      <c r="P272" s="9" t="s">
        <v>39</v>
      </c>
      <c r="Q272" s="9" t="s">
        <v>53</v>
      </c>
      <c r="R272" s="9" t="s">
        <v>41</v>
      </c>
      <c r="S272" s="9" t="s">
        <v>460</v>
      </c>
      <c r="T272" s="9" t="s">
        <v>112</v>
      </c>
      <c r="U272" s="9" t="n">
        <v>12</v>
      </c>
      <c r="V272" s="9" t="n">
        <v>12</v>
      </c>
      <c r="W272" s="9" t="n">
        <v>680</v>
      </c>
      <c r="X272" s="9"/>
      <c r="Y272" s="9" t="n">
        <f aca="false">W272+X272</f>
        <v>680</v>
      </c>
      <c r="Z272" s="9"/>
      <c r="AA272" s="12" t="n">
        <v>0.24</v>
      </c>
      <c r="AB272" s="12"/>
      <c r="AC272" s="12" t="n">
        <f aca="false">G272/V272</f>
        <v>2.075</v>
      </c>
      <c r="AD272" s="12" t="n">
        <f aca="false">(G272*AA272)/V272</f>
        <v>0.498</v>
      </c>
    </row>
    <row r="273" customFormat="false" ht="55.2" hidden="false" customHeight="false" outlineLevel="0" collapsed="false">
      <c r="A273" s="9" t="n">
        <v>272</v>
      </c>
      <c r="B273" s="9" t="s">
        <v>30</v>
      </c>
      <c r="C273" s="9" t="s">
        <v>115</v>
      </c>
      <c r="D273" s="9" t="s">
        <v>514</v>
      </c>
      <c r="E273" s="13" t="s">
        <v>511</v>
      </c>
      <c r="F273" s="9" t="s">
        <v>512</v>
      </c>
      <c r="G273" s="9" t="n">
        <v>22.6</v>
      </c>
      <c r="H273" s="9" t="s">
        <v>36</v>
      </c>
      <c r="I273" s="9"/>
      <c r="J273" s="9"/>
      <c r="K273" s="9" t="s">
        <v>513</v>
      </c>
      <c r="L273" s="0" t="n">
        <v>2000</v>
      </c>
      <c r="M273" s="9" t="s">
        <v>38</v>
      </c>
      <c r="N273" s="11" t="n">
        <v>-4.553771</v>
      </c>
      <c r="O273" s="11" t="n">
        <v>104.933045</v>
      </c>
      <c r="P273" s="9" t="s">
        <v>39</v>
      </c>
      <c r="Q273" s="9" t="s">
        <v>53</v>
      </c>
      <c r="R273" s="9" t="s">
        <v>41</v>
      </c>
      <c r="S273" s="9" t="s">
        <v>460</v>
      </c>
      <c r="T273" s="9" t="s">
        <v>112</v>
      </c>
      <c r="U273" s="9" t="n">
        <v>12</v>
      </c>
      <c r="V273" s="9" t="n">
        <v>12</v>
      </c>
      <c r="W273" s="9" t="n">
        <v>300</v>
      </c>
      <c r="X273" s="9"/>
      <c r="Y273" s="9" t="n">
        <f aca="false">W273+X273</f>
        <v>300</v>
      </c>
      <c r="Z273" s="9"/>
      <c r="AA273" s="12" t="n">
        <v>0.24</v>
      </c>
      <c r="AB273" s="12"/>
      <c r="AC273" s="12" t="n">
        <f aca="false">G273/V273</f>
        <v>1.88333333333333</v>
      </c>
      <c r="AD273" s="12" t="n">
        <f aca="false">(G273*AA273)/V273</f>
        <v>0.452</v>
      </c>
    </row>
    <row r="274" customFormat="false" ht="55.2" hidden="false" customHeight="false" outlineLevel="0" collapsed="false">
      <c r="A274" s="9" t="n">
        <v>273</v>
      </c>
      <c r="B274" s="9" t="s">
        <v>30</v>
      </c>
      <c r="C274" s="9" t="s">
        <v>115</v>
      </c>
      <c r="D274" s="9" t="s">
        <v>516</v>
      </c>
      <c r="E274" s="13" t="s">
        <v>511</v>
      </c>
      <c r="F274" s="9" t="s">
        <v>512</v>
      </c>
      <c r="G274" s="9" t="n">
        <v>65.3</v>
      </c>
      <c r="H274" s="9" t="s">
        <v>36</v>
      </c>
      <c r="I274" s="9"/>
      <c r="J274" s="9"/>
      <c r="K274" s="9" t="s">
        <v>513</v>
      </c>
      <c r="L274" s="0" t="n">
        <v>2000</v>
      </c>
      <c r="M274" s="9" t="s">
        <v>38</v>
      </c>
      <c r="N274" s="11" t="n">
        <v>-4.553771</v>
      </c>
      <c r="O274" s="11" t="n">
        <v>104.933045</v>
      </c>
      <c r="P274" s="9" t="s">
        <v>39</v>
      </c>
      <c r="Q274" s="9" t="s">
        <v>53</v>
      </c>
      <c r="R274" s="9" t="s">
        <v>41</v>
      </c>
      <c r="S274" s="9" t="s">
        <v>460</v>
      </c>
      <c r="T274" s="9" t="s">
        <v>112</v>
      </c>
      <c r="U274" s="9" t="n">
        <v>14</v>
      </c>
      <c r="V274" s="9" t="n">
        <v>14</v>
      </c>
      <c r="W274" s="9" t="n">
        <v>700</v>
      </c>
      <c r="X274" s="9"/>
      <c r="Y274" s="9" t="n">
        <f aca="false">W274+X274</f>
        <v>700</v>
      </c>
      <c r="Z274" s="9"/>
      <c r="AA274" s="12" t="n">
        <v>0.24</v>
      </c>
      <c r="AB274" s="12"/>
      <c r="AC274" s="12" t="n">
        <f aca="false">G274/V274</f>
        <v>4.66428571428571</v>
      </c>
      <c r="AD274" s="12" t="n">
        <f aca="false">(G274*AA274)/V274</f>
        <v>1.11942857142857</v>
      </c>
    </row>
    <row r="275" customFormat="false" ht="55.2" hidden="false" customHeight="false" outlineLevel="0" collapsed="false">
      <c r="A275" s="9" t="n">
        <v>274</v>
      </c>
      <c r="B275" s="9" t="s">
        <v>30</v>
      </c>
      <c r="C275" s="9" t="s">
        <v>115</v>
      </c>
      <c r="D275" s="9" t="s">
        <v>517</v>
      </c>
      <c r="E275" s="13" t="s">
        <v>511</v>
      </c>
      <c r="F275" s="9" t="s">
        <v>512</v>
      </c>
      <c r="G275" s="9" t="n">
        <v>17.1</v>
      </c>
      <c r="H275" s="9" t="s">
        <v>36</v>
      </c>
      <c r="I275" s="9"/>
      <c r="J275" s="9"/>
      <c r="K275" s="9" t="s">
        <v>513</v>
      </c>
      <c r="L275" s="0" t="n">
        <v>2000</v>
      </c>
      <c r="M275" s="9" t="s">
        <v>38</v>
      </c>
      <c r="N275" s="11" t="n">
        <v>-4.553771</v>
      </c>
      <c r="O275" s="11" t="n">
        <v>104.933045</v>
      </c>
      <c r="P275" s="9" t="s">
        <v>39</v>
      </c>
      <c r="Q275" s="9" t="s">
        <v>53</v>
      </c>
      <c r="R275" s="9" t="s">
        <v>41</v>
      </c>
      <c r="S275" s="9" t="s">
        <v>460</v>
      </c>
      <c r="T275" s="9" t="s">
        <v>112</v>
      </c>
      <c r="U275" s="9" t="n">
        <v>17</v>
      </c>
      <c r="V275" s="9" t="n">
        <v>17</v>
      </c>
      <c r="W275" s="9" t="n">
        <v>540</v>
      </c>
      <c r="X275" s="9"/>
      <c r="Y275" s="9" t="n">
        <f aca="false">W275+X275</f>
        <v>540</v>
      </c>
      <c r="Z275" s="9"/>
      <c r="AA275" s="12" t="n">
        <v>0.24</v>
      </c>
      <c r="AB275" s="12"/>
      <c r="AC275" s="12" t="n">
        <f aca="false">G275/V275</f>
        <v>1.00588235294118</v>
      </c>
      <c r="AD275" s="12" t="n">
        <f aca="false">(G275*AA275)/V275</f>
        <v>0.241411764705882</v>
      </c>
    </row>
    <row r="276" customFormat="false" ht="55.2" hidden="false" customHeight="false" outlineLevel="0" collapsed="false">
      <c r="A276" s="9" t="n">
        <v>275</v>
      </c>
      <c r="B276" s="9" t="s">
        <v>30</v>
      </c>
      <c r="C276" s="9" t="s">
        <v>115</v>
      </c>
      <c r="D276" s="9" t="s">
        <v>515</v>
      </c>
      <c r="E276" s="13" t="s">
        <v>511</v>
      </c>
      <c r="F276" s="9" t="s">
        <v>512</v>
      </c>
      <c r="G276" s="9" t="n">
        <v>21.6</v>
      </c>
      <c r="H276" s="9" t="s">
        <v>36</v>
      </c>
      <c r="I276" s="9"/>
      <c r="J276" s="9"/>
      <c r="K276" s="9" t="s">
        <v>513</v>
      </c>
      <c r="L276" s="0" t="n">
        <v>2000</v>
      </c>
      <c r="M276" s="9" t="s">
        <v>38</v>
      </c>
      <c r="N276" s="11" t="n">
        <v>-4.553771</v>
      </c>
      <c r="O276" s="11" t="n">
        <v>104.933045</v>
      </c>
      <c r="P276" s="9" t="s">
        <v>39</v>
      </c>
      <c r="Q276" s="9" t="s">
        <v>53</v>
      </c>
      <c r="R276" s="9" t="s">
        <v>41</v>
      </c>
      <c r="S276" s="9" t="s">
        <v>460</v>
      </c>
      <c r="T276" s="9" t="s">
        <v>112</v>
      </c>
      <c r="U276" s="9" t="n">
        <v>13</v>
      </c>
      <c r="V276" s="9" t="n">
        <v>13</v>
      </c>
      <c r="W276" s="9" t="n">
        <v>540</v>
      </c>
      <c r="X276" s="9"/>
      <c r="Y276" s="9" t="n">
        <f aca="false">W276+X276</f>
        <v>540</v>
      </c>
      <c r="Z276" s="9"/>
      <c r="AA276" s="12" t="n">
        <v>0.24</v>
      </c>
      <c r="AB276" s="12"/>
      <c r="AC276" s="12" t="n">
        <f aca="false">G276/V276</f>
        <v>1.66153846153846</v>
      </c>
      <c r="AD276" s="12" t="n">
        <f aca="false">(G276*AA276)/V276</f>
        <v>0.398769230769231</v>
      </c>
    </row>
    <row r="277" customFormat="false" ht="55.2" hidden="false" customHeight="false" outlineLevel="0" collapsed="false">
      <c r="A277" s="9" t="n">
        <v>276</v>
      </c>
      <c r="B277" s="9" t="s">
        <v>30</v>
      </c>
      <c r="C277" s="9" t="s">
        <v>115</v>
      </c>
      <c r="D277" s="9" t="s">
        <v>515</v>
      </c>
      <c r="E277" s="13" t="s">
        <v>511</v>
      </c>
      <c r="F277" s="9" t="s">
        <v>512</v>
      </c>
      <c r="G277" s="9" t="n">
        <v>45.4</v>
      </c>
      <c r="H277" s="9" t="s">
        <v>36</v>
      </c>
      <c r="I277" s="9"/>
      <c r="J277" s="9"/>
      <c r="K277" s="9" t="s">
        <v>513</v>
      </c>
      <c r="L277" s="0" t="n">
        <v>2000</v>
      </c>
      <c r="M277" s="9" t="s">
        <v>38</v>
      </c>
      <c r="N277" s="11" t="n">
        <v>-4.553771</v>
      </c>
      <c r="O277" s="11" t="n">
        <v>104.933045</v>
      </c>
      <c r="P277" s="9" t="s">
        <v>39</v>
      </c>
      <c r="Q277" s="9" t="s">
        <v>53</v>
      </c>
      <c r="R277" s="9" t="s">
        <v>41</v>
      </c>
      <c r="S277" s="9" t="s">
        <v>460</v>
      </c>
      <c r="T277" s="9" t="s">
        <v>112</v>
      </c>
      <c r="U277" s="9" t="n">
        <v>13</v>
      </c>
      <c r="V277" s="9" t="n">
        <v>13</v>
      </c>
      <c r="W277" s="9" t="n">
        <v>720</v>
      </c>
      <c r="X277" s="9"/>
      <c r="Y277" s="9" t="n">
        <f aca="false">W277+X277</f>
        <v>720</v>
      </c>
      <c r="Z277" s="9"/>
      <c r="AA277" s="12" t="n">
        <v>0.24</v>
      </c>
      <c r="AB277" s="12"/>
      <c r="AC277" s="12" t="n">
        <f aca="false">G277/V277</f>
        <v>3.49230769230769</v>
      </c>
      <c r="AD277" s="12" t="n">
        <f aca="false">(G277*AA277)/V277</f>
        <v>0.838153846153846</v>
      </c>
    </row>
    <row r="278" customFormat="false" ht="55.2" hidden="false" customHeight="false" outlineLevel="0" collapsed="false">
      <c r="A278" s="9" t="n">
        <v>277</v>
      </c>
      <c r="B278" s="9" t="s">
        <v>30</v>
      </c>
      <c r="C278" s="9" t="s">
        <v>115</v>
      </c>
      <c r="D278" s="9" t="s">
        <v>515</v>
      </c>
      <c r="E278" s="13" t="s">
        <v>511</v>
      </c>
      <c r="F278" s="9" t="s">
        <v>512</v>
      </c>
      <c r="G278" s="9" t="n">
        <v>84</v>
      </c>
      <c r="H278" s="9" t="s">
        <v>36</v>
      </c>
      <c r="I278" s="9"/>
      <c r="J278" s="9"/>
      <c r="K278" s="9" t="s">
        <v>513</v>
      </c>
      <c r="L278" s="0" t="n">
        <v>2000</v>
      </c>
      <c r="M278" s="9" t="s">
        <v>38</v>
      </c>
      <c r="N278" s="11" t="n">
        <v>-4.553771</v>
      </c>
      <c r="O278" s="11" t="n">
        <v>104.933045</v>
      </c>
      <c r="P278" s="9" t="s">
        <v>39</v>
      </c>
      <c r="Q278" s="9" t="s">
        <v>53</v>
      </c>
      <c r="R278" s="9" t="s">
        <v>41</v>
      </c>
      <c r="S278" s="9" t="s">
        <v>460</v>
      </c>
      <c r="T278" s="9" t="s">
        <v>112</v>
      </c>
      <c r="U278" s="9" t="n">
        <v>13</v>
      </c>
      <c r="V278" s="9" t="n">
        <v>13</v>
      </c>
      <c r="W278" s="9" t="n">
        <v>960</v>
      </c>
      <c r="X278" s="9"/>
      <c r="Y278" s="9" t="n">
        <f aca="false">W278+X278</f>
        <v>960</v>
      </c>
      <c r="Z278" s="9"/>
      <c r="AA278" s="12" t="n">
        <v>0.24</v>
      </c>
      <c r="AB278" s="12"/>
      <c r="AC278" s="12" t="n">
        <f aca="false">G278/V278</f>
        <v>6.46153846153846</v>
      </c>
      <c r="AD278" s="12" t="n">
        <f aca="false">(G278*AA278)/V278</f>
        <v>1.55076923076923</v>
      </c>
    </row>
    <row r="279" customFormat="false" ht="55.2" hidden="false" customHeight="false" outlineLevel="0" collapsed="false">
      <c r="A279" s="9" t="n">
        <v>278</v>
      </c>
      <c r="B279" s="9" t="s">
        <v>30</v>
      </c>
      <c r="C279" s="9" t="s">
        <v>115</v>
      </c>
      <c r="D279" s="9" t="s">
        <v>514</v>
      </c>
      <c r="E279" s="13" t="s">
        <v>511</v>
      </c>
      <c r="F279" s="9" t="s">
        <v>512</v>
      </c>
      <c r="G279" s="9" t="n">
        <v>56.2</v>
      </c>
      <c r="H279" s="9" t="s">
        <v>36</v>
      </c>
      <c r="I279" s="9"/>
      <c r="J279" s="9"/>
      <c r="K279" s="9" t="s">
        <v>513</v>
      </c>
      <c r="L279" s="0" t="n">
        <v>2000</v>
      </c>
      <c r="M279" s="9" t="s">
        <v>38</v>
      </c>
      <c r="N279" s="11" t="n">
        <v>-4.553771</v>
      </c>
      <c r="O279" s="11" t="n">
        <v>104.933045</v>
      </c>
      <c r="P279" s="9" t="s">
        <v>39</v>
      </c>
      <c r="Q279" s="9" t="s">
        <v>53</v>
      </c>
      <c r="R279" s="9" t="s">
        <v>41</v>
      </c>
      <c r="S279" s="9" t="s">
        <v>460</v>
      </c>
      <c r="T279" s="9" t="s">
        <v>112</v>
      </c>
      <c r="U279" s="9" t="n">
        <v>12</v>
      </c>
      <c r="V279" s="9" t="n">
        <v>12</v>
      </c>
      <c r="W279" s="9" t="n">
        <v>380</v>
      </c>
      <c r="X279" s="9"/>
      <c r="Y279" s="9" t="n">
        <f aca="false">W279+X279</f>
        <v>380</v>
      </c>
      <c r="Z279" s="9"/>
      <c r="AA279" s="12" t="n">
        <v>0.24</v>
      </c>
      <c r="AB279" s="12"/>
      <c r="AC279" s="12" t="n">
        <f aca="false">G279/V279</f>
        <v>4.68333333333333</v>
      </c>
      <c r="AD279" s="12" t="n">
        <f aca="false">(G279*AA279)/V279</f>
        <v>1.124</v>
      </c>
    </row>
    <row r="280" customFormat="false" ht="55.2" hidden="false" customHeight="false" outlineLevel="0" collapsed="false">
      <c r="A280" s="9" t="n">
        <v>279</v>
      </c>
      <c r="B280" s="9" t="s">
        <v>30</v>
      </c>
      <c r="C280" s="9" t="s">
        <v>115</v>
      </c>
      <c r="D280" s="9" t="s">
        <v>515</v>
      </c>
      <c r="E280" s="13" t="s">
        <v>511</v>
      </c>
      <c r="F280" s="9" t="s">
        <v>512</v>
      </c>
      <c r="G280" s="9" t="n">
        <v>46.3</v>
      </c>
      <c r="H280" s="9" t="s">
        <v>36</v>
      </c>
      <c r="I280" s="9"/>
      <c r="J280" s="9"/>
      <c r="K280" s="9" t="s">
        <v>513</v>
      </c>
      <c r="L280" s="0" t="n">
        <v>2000</v>
      </c>
      <c r="M280" s="9" t="s">
        <v>38</v>
      </c>
      <c r="N280" s="11" t="n">
        <v>-4.553771</v>
      </c>
      <c r="O280" s="11" t="n">
        <v>104.933045</v>
      </c>
      <c r="P280" s="9" t="s">
        <v>39</v>
      </c>
      <c r="Q280" s="9" t="s">
        <v>53</v>
      </c>
      <c r="R280" s="9" t="s">
        <v>41</v>
      </c>
      <c r="S280" s="9" t="s">
        <v>460</v>
      </c>
      <c r="T280" s="9" t="s">
        <v>112</v>
      </c>
      <c r="U280" s="9" t="n">
        <v>13</v>
      </c>
      <c r="V280" s="9" t="n">
        <v>13</v>
      </c>
      <c r="W280" s="9" t="n">
        <v>340</v>
      </c>
      <c r="X280" s="9"/>
      <c r="Y280" s="9" t="n">
        <f aca="false">W280+X280</f>
        <v>340</v>
      </c>
      <c r="Z280" s="9"/>
      <c r="AA280" s="12" t="n">
        <v>0.24</v>
      </c>
      <c r="AB280" s="12"/>
      <c r="AC280" s="12" t="n">
        <f aca="false">G280/V280</f>
        <v>3.56153846153846</v>
      </c>
      <c r="AD280" s="12" t="n">
        <f aca="false">(G280*AA280)/V280</f>
        <v>0.854769230769231</v>
      </c>
    </row>
    <row r="281" customFormat="false" ht="55.2" hidden="false" customHeight="false" outlineLevel="0" collapsed="false">
      <c r="A281" s="9" t="n">
        <v>280</v>
      </c>
      <c r="B281" s="9" t="s">
        <v>30</v>
      </c>
      <c r="C281" s="9" t="s">
        <v>115</v>
      </c>
      <c r="D281" s="9" t="s">
        <v>515</v>
      </c>
      <c r="E281" s="13" t="s">
        <v>511</v>
      </c>
      <c r="F281" s="9" t="s">
        <v>512</v>
      </c>
      <c r="G281" s="9" t="n">
        <v>53.8</v>
      </c>
      <c r="H281" s="9" t="s">
        <v>36</v>
      </c>
      <c r="I281" s="9"/>
      <c r="J281" s="9"/>
      <c r="K281" s="9" t="s">
        <v>513</v>
      </c>
      <c r="L281" s="0" t="n">
        <v>2000</v>
      </c>
      <c r="M281" s="9" t="s">
        <v>38</v>
      </c>
      <c r="N281" s="11" t="n">
        <v>-4.553771</v>
      </c>
      <c r="O281" s="11" t="n">
        <v>104.933045</v>
      </c>
      <c r="P281" s="9" t="s">
        <v>39</v>
      </c>
      <c r="Q281" s="9" t="s">
        <v>53</v>
      </c>
      <c r="R281" s="9" t="s">
        <v>41</v>
      </c>
      <c r="S281" s="9" t="s">
        <v>460</v>
      </c>
      <c r="T281" s="9" t="s">
        <v>112</v>
      </c>
      <c r="U281" s="9" t="n">
        <v>13</v>
      </c>
      <c r="V281" s="9" t="n">
        <v>13</v>
      </c>
      <c r="W281" s="9" t="n">
        <v>920</v>
      </c>
      <c r="X281" s="9"/>
      <c r="Y281" s="9" t="n">
        <f aca="false">W281+X281</f>
        <v>920</v>
      </c>
      <c r="Z281" s="9"/>
      <c r="AA281" s="12" t="n">
        <v>0.24</v>
      </c>
      <c r="AB281" s="12"/>
      <c r="AC281" s="12" t="n">
        <f aca="false">G281/V281</f>
        <v>4.13846153846154</v>
      </c>
      <c r="AD281" s="12" t="n">
        <f aca="false">(G281*AA281)/V281</f>
        <v>0.993230769230769</v>
      </c>
    </row>
    <row r="282" customFormat="false" ht="55.2" hidden="false" customHeight="false" outlineLevel="0" collapsed="false">
      <c r="A282" s="9" t="n">
        <v>281</v>
      </c>
      <c r="B282" s="9" t="s">
        <v>30</v>
      </c>
      <c r="C282" s="9" t="s">
        <v>115</v>
      </c>
      <c r="D282" s="9" t="s">
        <v>515</v>
      </c>
      <c r="E282" s="13" t="s">
        <v>511</v>
      </c>
      <c r="F282" s="9" t="s">
        <v>512</v>
      </c>
      <c r="G282" s="9" t="n">
        <v>19.3</v>
      </c>
      <c r="H282" s="9" t="s">
        <v>36</v>
      </c>
      <c r="I282" s="9"/>
      <c r="J282" s="9"/>
      <c r="K282" s="9" t="s">
        <v>513</v>
      </c>
      <c r="L282" s="0" t="n">
        <v>2000</v>
      </c>
      <c r="M282" s="9" t="s">
        <v>38</v>
      </c>
      <c r="N282" s="11" t="n">
        <v>-4.553771</v>
      </c>
      <c r="O282" s="11" t="n">
        <v>104.933045</v>
      </c>
      <c r="P282" s="9" t="s">
        <v>39</v>
      </c>
      <c r="Q282" s="9" t="s">
        <v>53</v>
      </c>
      <c r="R282" s="9" t="s">
        <v>41</v>
      </c>
      <c r="S282" s="9" t="s">
        <v>460</v>
      </c>
      <c r="T282" s="9" t="s">
        <v>112</v>
      </c>
      <c r="U282" s="9" t="n">
        <v>13</v>
      </c>
      <c r="V282" s="9" t="n">
        <v>13</v>
      </c>
      <c r="W282" s="9" t="n">
        <v>400</v>
      </c>
      <c r="X282" s="9"/>
      <c r="Y282" s="9" t="n">
        <f aca="false">W282+X282</f>
        <v>400</v>
      </c>
      <c r="Z282" s="9"/>
      <c r="AA282" s="12" t="n">
        <v>0.24</v>
      </c>
      <c r="AB282" s="12"/>
      <c r="AC282" s="12" t="n">
        <f aca="false">G282/V282</f>
        <v>1.48461538461538</v>
      </c>
      <c r="AD282" s="12" t="n">
        <f aca="false">(G282*AA282)/V282</f>
        <v>0.356307692307692</v>
      </c>
    </row>
    <row r="283" customFormat="false" ht="13.8" hidden="false" customHeight="false" outlineLevel="0" collapsed="false">
      <c r="A283" s="9" t="n">
        <v>282</v>
      </c>
      <c r="B283" s="9" t="s">
        <v>30</v>
      </c>
      <c r="C283" s="9" t="s">
        <v>208</v>
      </c>
      <c r="D283" s="9" t="s">
        <v>518</v>
      </c>
      <c r="E283" s="9" t="s">
        <v>519</v>
      </c>
      <c r="F283" s="9" t="s">
        <v>520</v>
      </c>
      <c r="G283" s="9" t="n">
        <v>73.18</v>
      </c>
      <c r="H283" s="9" t="s">
        <v>36</v>
      </c>
      <c r="I283" s="9"/>
      <c r="J283" s="9"/>
      <c r="K283" s="9" t="s">
        <v>521</v>
      </c>
      <c r="L283" s="10" t="n">
        <v>2008.5</v>
      </c>
      <c r="M283" s="9" t="s">
        <v>38</v>
      </c>
      <c r="N283" s="11" t="n">
        <v>14.681171</v>
      </c>
      <c r="O283" s="11" t="n">
        <v>-91.304335</v>
      </c>
      <c r="P283" s="9" t="s">
        <v>39</v>
      </c>
      <c r="Q283" s="9" t="s">
        <v>110</v>
      </c>
      <c r="R283" s="9" t="s">
        <v>41</v>
      </c>
      <c r="S283" s="9" t="s">
        <v>522</v>
      </c>
      <c r="T283" s="9" t="s">
        <v>233</v>
      </c>
      <c r="U283" s="9" t="n">
        <v>40</v>
      </c>
      <c r="V283" s="9" t="n">
        <v>40</v>
      </c>
      <c r="W283" s="9" t="n">
        <f aca="false">218</f>
        <v>218</v>
      </c>
      <c r="X283" s="9" t="n">
        <v>9884</v>
      </c>
      <c r="Y283" s="9" t="n">
        <f aca="false">W283+X283</f>
        <v>10102</v>
      </c>
      <c r="Z283" s="9"/>
      <c r="AA283" s="12" t="n">
        <f aca="false">AB283/G283</f>
        <v>0.221508608909538</v>
      </c>
      <c r="AB283" s="12" t="n">
        <v>16.21</v>
      </c>
      <c r="AC283" s="12" t="n">
        <f aca="false">G283/V283</f>
        <v>1.8295</v>
      </c>
      <c r="AD283" s="12" t="n">
        <f aca="false">AB283/V283</f>
        <v>0.40525</v>
      </c>
    </row>
    <row r="284" customFormat="false" ht="13.8" hidden="false" customHeight="false" outlineLevel="0" collapsed="false">
      <c r="A284" s="9" t="n">
        <v>283</v>
      </c>
      <c r="B284" s="9" t="s">
        <v>30</v>
      </c>
      <c r="C284" s="9" t="s">
        <v>115</v>
      </c>
      <c r="D284" s="9" t="s">
        <v>523</v>
      </c>
      <c r="E284" s="9" t="s">
        <v>524</v>
      </c>
      <c r="F284" s="9" t="s">
        <v>525</v>
      </c>
      <c r="G284" s="12" t="n">
        <f aca="false">45.3441295546559-12.9554655870445</f>
        <v>32.3886639676114</v>
      </c>
      <c r="H284" s="9" t="s">
        <v>230</v>
      </c>
      <c r="I284" s="12" t="n">
        <f aca="false">G284*0.47</f>
        <v>15.2226720647774</v>
      </c>
      <c r="J284" s="9" t="s">
        <v>36</v>
      </c>
      <c r="K284" s="9" t="s">
        <v>526</v>
      </c>
      <c r="L284" s="0" t="n">
        <v>1999.5</v>
      </c>
      <c r="M284" s="9" t="s">
        <v>38</v>
      </c>
      <c r="N284" s="11" t="s">
        <v>527</v>
      </c>
      <c r="O284" s="11" t="s">
        <v>528</v>
      </c>
      <c r="P284" s="9" t="s">
        <v>39</v>
      </c>
      <c r="Q284" s="9" t="s">
        <v>110</v>
      </c>
      <c r="R284" s="9" t="s">
        <v>41</v>
      </c>
      <c r="S284" s="9" t="s">
        <v>465</v>
      </c>
      <c r="T284" s="9" t="s">
        <v>207</v>
      </c>
      <c r="U284" s="9" t="n">
        <v>7</v>
      </c>
      <c r="V284" s="9" t="n">
        <v>7</v>
      </c>
      <c r="W284" s="9" t="n">
        <v>578</v>
      </c>
      <c r="X284" s="9"/>
      <c r="Y284" s="9" t="n">
        <f aca="false">W284+X284</f>
        <v>578</v>
      </c>
      <c r="Z284" s="9"/>
      <c r="AA284" s="12" t="n">
        <f aca="false">AB284/I284</f>
        <v>0.304999999999999</v>
      </c>
      <c r="AB284" s="12" t="n">
        <f aca="false">(12.9554655870445-3.07692307692307)*0.47</f>
        <v>4.64291497975707</v>
      </c>
      <c r="AC284" s="12" t="n">
        <f aca="false">I284/V284</f>
        <v>2.17466743782534</v>
      </c>
      <c r="AD284" s="12" t="n">
        <f aca="false">AB284/V284</f>
        <v>0.663273568536725</v>
      </c>
    </row>
    <row r="285" customFormat="false" ht="13.8" hidden="false" customHeight="false" outlineLevel="0" collapsed="false">
      <c r="A285" s="9" t="n">
        <v>284</v>
      </c>
      <c r="B285" s="9" t="s">
        <v>30</v>
      </c>
      <c r="C285" s="9" t="s">
        <v>115</v>
      </c>
      <c r="D285" s="9" t="s">
        <v>529</v>
      </c>
      <c r="E285" s="9" t="s">
        <v>524</v>
      </c>
      <c r="F285" s="9" t="s">
        <v>525</v>
      </c>
      <c r="G285" s="12" t="n">
        <f aca="false">51.1740890688259-14.0890688259109</f>
        <v>37.085020242915</v>
      </c>
      <c r="H285" s="9" t="s">
        <v>230</v>
      </c>
      <c r="I285" s="12" t="n">
        <f aca="false">G285*0.47</f>
        <v>17.4299595141701</v>
      </c>
      <c r="J285" s="9" t="s">
        <v>36</v>
      </c>
      <c r="K285" s="9" t="s">
        <v>526</v>
      </c>
      <c r="L285" s="0" t="n">
        <v>1999.5</v>
      </c>
      <c r="M285" s="9" t="s">
        <v>38</v>
      </c>
      <c r="N285" s="11" t="s">
        <v>527</v>
      </c>
      <c r="O285" s="11" t="s">
        <v>528</v>
      </c>
      <c r="P285" s="9" t="s">
        <v>39</v>
      </c>
      <c r="Q285" s="9" t="s">
        <v>110</v>
      </c>
      <c r="R285" s="9" t="s">
        <v>41</v>
      </c>
      <c r="S285" s="9" t="s">
        <v>465</v>
      </c>
      <c r="T285" s="9" t="s">
        <v>207</v>
      </c>
      <c r="U285" s="9" t="n">
        <v>7</v>
      </c>
      <c r="V285" s="9" t="n">
        <v>7</v>
      </c>
      <c r="W285" s="9" t="n">
        <v>578</v>
      </c>
      <c r="X285" s="9"/>
      <c r="Y285" s="9" t="n">
        <f aca="false">W285+X285</f>
        <v>578</v>
      </c>
      <c r="Z285" s="9"/>
      <c r="AA285" s="12" t="n">
        <f aca="false">AB285/I285</f>
        <v>0.318777292576418</v>
      </c>
      <c r="AB285" s="12" t="n">
        <f aca="false">(14.0890688259109-2.26720647773279)*0.47</f>
        <v>5.55627530364371</v>
      </c>
      <c r="AC285" s="12" t="n">
        <f aca="false">I285/V285</f>
        <v>2.48999421631001</v>
      </c>
      <c r="AD285" s="12" t="n">
        <f aca="false">AB285/V285</f>
        <v>0.793753614806245</v>
      </c>
    </row>
    <row r="286" customFormat="false" ht="13.8" hidden="false" customHeight="false" outlineLevel="0" collapsed="false">
      <c r="A286" s="9" t="n">
        <v>285</v>
      </c>
      <c r="B286" s="9" t="s">
        <v>30</v>
      </c>
      <c r="C286" s="9" t="s">
        <v>115</v>
      </c>
      <c r="D286" s="9" t="s">
        <v>530</v>
      </c>
      <c r="E286" s="9" t="s">
        <v>524</v>
      </c>
      <c r="F286" s="9" t="s">
        <v>525</v>
      </c>
      <c r="G286" s="12" t="n">
        <f aca="false">46.3157894736842-13.2793522267206</f>
        <v>33.0364372469636</v>
      </c>
      <c r="H286" s="9" t="s">
        <v>230</v>
      </c>
      <c r="I286" s="12" t="n">
        <f aca="false">G286*0.47</f>
        <v>15.5271255060729</v>
      </c>
      <c r="J286" s="9" t="s">
        <v>36</v>
      </c>
      <c r="K286" s="9" t="s">
        <v>526</v>
      </c>
      <c r="L286" s="0" t="n">
        <v>1999.5</v>
      </c>
      <c r="M286" s="9" t="s">
        <v>38</v>
      </c>
      <c r="N286" s="11" t="s">
        <v>527</v>
      </c>
      <c r="O286" s="11" t="s">
        <v>528</v>
      </c>
      <c r="P286" s="9" t="s">
        <v>39</v>
      </c>
      <c r="Q286" s="9" t="s">
        <v>110</v>
      </c>
      <c r="R286" s="9" t="s">
        <v>41</v>
      </c>
      <c r="S286" s="9" t="s">
        <v>465</v>
      </c>
      <c r="T286" s="9" t="s">
        <v>207</v>
      </c>
      <c r="U286" s="9" t="n">
        <v>7</v>
      </c>
      <c r="V286" s="9" t="n">
        <v>7</v>
      </c>
      <c r="W286" s="9" t="n">
        <v>577</v>
      </c>
      <c r="X286" s="9"/>
      <c r="Y286" s="9" t="n">
        <f aca="false">W286+X286</f>
        <v>577</v>
      </c>
      <c r="Z286" s="9"/>
      <c r="AA286" s="12" t="n">
        <f aca="false">AB286/I286</f>
        <v>0.289215686274508</v>
      </c>
      <c r="AB286" s="12" t="n">
        <f aca="false">(13.2793522267206-3.72469635627531)*0.47</f>
        <v>4.49068825910929</v>
      </c>
      <c r="AC286" s="12" t="n">
        <f aca="false">I286/V286</f>
        <v>2.21816078658184</v>
      </c>
      <c r="AD286" s="12" t="n">
        <f aca="false">AB286/V286</f>
        <v>0.64152689415847</v>
      </c>
    </row>
    <row r="287" customFormat="false" ht="13.8" hidden="false" customHeight="false" outlineLevel="0" collapsed="false">
      <c r="A287" s="9" t="n">
        <v>286</v>
      </c>
      <c r="B287" s="9" t="s">
        <v>30</v>
      </c>
      <c r="C287" s="9" t="s">
        <v>115</v>
      </c>
      <c r="D287" s="9" t="s">
        <v>531</v>
      </c>
      <c r="E287" s="9" t="s">
        <v>524</v>
      </c>
      <c r="F287" s="9" t="s">
        <v>525</v>
      </c>
      <c r="G287" s="12" t="n">
        <f aca="false">58.4615384615385-16.0323886639676</f>
        <v>42.4291497975709</v>
      </c>
      <c r="H287" s="9" t="s">
        <v>230</v>
      </c>
      <c r="I287" s="12" t="n">
        <f aca="false">G287*0.47</f>
        <v>19.9417004048583</v>
      </c>
      <c r="J287" s="9" t="s">
        <v>36</v>
      </c>
      <c r="K287" s="9" t="s">
        <v>526</v>
      </c>
      <c r="L287" s="0" t="n">
        <v>1999.5</v>
      </c>
      <c r="M287" s="9" t="s">
        <v>38</v>
      </c>
      <c r="N287" s="11" t="s">
        <v>527</v>
      </c>
      <c r="O287" s="11" t="s">
        <v>528</v>
      </c>
      <c r="P287" s="9" t="s">
        <v>39</v>
      </c>
      <c r="Q287" s="9" t="s">
        <v>110</v>
      </c>
      <c r="R287" s="9" t="s">
        <v>41</v>
      </c>
      <c r="S287" s="9" t="s">
        <v>465</v>
      </c>
      <c r="T287" s="9" t="s">
        <v>207</v>
      </c>
      <c r="U287" s="9" t="n">
        <v>7</v>
      </c>
      <c r="V287" s="9" t="n">
        <v>7</v>
      </c>
      <c r="W287" s="9" t="n">
        <v>577</v>
      </c>
      <c r="X287" s="9"/>
      <c r="Y287" s="9" t="n">
        <f aca="false">W287+X287</f>
        <v>577</v>
      </c>
      <c r="Z287" s="9"/>
      <c r="AA287" s="12" t="n">
        <f aca="false">AB287/I287</f>
        <v>0.282442748091602</v>
      </c>
      <c r="AB287" s="12" t="n">
        <f aca="false">(16.0323886639676-4.04858299595143)*0.47</f>
        <v>5.6323886639676</v>
      </c>
      <c r="AC287" s="12" t="n">
        <f aca="false">I287/V287</f>
        <v>2.84881434355119</v>
      </c>
      <c r="AD287" s="12" t="n">
        <f aca="false">AB287/V287</f>
        <v>0.804626951995371</v>
      </c>
    </row>
    <row r="288" customFormat="false" ht="13.8" hidden="false" customHeight="false" outlineLevel="0" collapsed="false">
      <c r="A288" s="9" t="n">
        <v>287</v>
      </c>
      <c r="B288" s="9" t="s">
        <v>30</v>
      </c>
      <c r="C288" s="9" t="s">
        <v>115</v>
      </c>
      <c r="D288" s="9" t="s">
        <v>532</v>
      </c>
      <c r="E288" s="9" t="s">
        <v>524</v>
      </c>
      <c r="F288" s="9" t="s">
        <v>525</v>
      </c>
      <c r="G288" s="12" t="n">
        <f aca="false">23.3198380566802-10.2024291497975</f>
        <v>13.1174089068827</v>
      </c>
      <c r="H288" s="9" t="s">
        <v>230</v>
      </c>
      <c r="I288" s="12" t="n">
        <f aca="false">G288*0.47</f>
        <v>6.16518218623487</v>
      </c>
      <c r="J288" s="9" t="s">
        <v>36</v>
      </c>
      <c r="K288" s="9" t="s">
        <v>526</v>
      </c>
      <c r="L288" s="0" t="n">
        <v>1999.5</v>
      </c>
      <c r="M288" s="9" t="s">
        <v>38</v>
      </c>
      <c r="N288" s="11" t="s">
        <v>527</v>
      </c>
      <c r="O288" s="11" t="s">
        <v>528</v>
      </c>
      <c r="P288" s="9" t="s">
        <v>39</v>
      </c>
      <c r="Q288" s="9" t="s">
        <v>110</v>
      </c>
      <c r="R288" s="9" t="s">
        <v>41</v>
      </c>
      <c r="S288" s="9" t="s">
        <v>465</v>
      </c>
      <c r="T288" s="9" t="s">
        <v>207</v>
      </c>
      <c r="U288" s="9" t="n">
        <v>7</v>
      </c>
      <c r="V288" s="9" t="n">
        <v>7</v>
      </c>
      <c r="W288" s="9" t="n">
        <v>270</v>
      </c>
      <c r="X288" s="9"/>
      <c r="Y288" s="9" t="n">
        <f aca="false">W288+X288</f>
        <v>270</v>
      </c>
      <c r="Z288" s="9"/>
      <c r="AA288" s="12" t="n">
        <f aca="false">AB288/I288</f>
        <v>0.320987654320978</v>
      </c>
      <c r="AB288" s="12" t="n">
        <f aca="false">(10.2024291497975-5.99190283400811)*0.47</f>
        <v>1.97894736842101</v>
      </c>
      <c r="AC288" s="12" t="n">
        <f aca="false">I288/V288</f>
        <v>0.880740312319267</v>
      </c>
      <c r="AD288" s="12" t="n">
        <f aca="false">AB288/V288</f>
        <v>0.282706766917287</v>
      </c>
    </row>
    <row r="289" customFormat="false" ht="13.8" hidden="false" customHeight="false" outlineLevel="0" collapsed="false">
      <c r="A289" s="9" t="n">
        <v>288</v>
      </c>
      <c r="B289" s="9" t="s">
        <v>30</v>
      </c>
      <c r="C289" s="9" t="s">
        <v>115</v>
      </c>
      <c r="D289" s="9" t="s">
        <v>533</v>
      </c>
      <c r="E289" s="9" t="s">
        <v>524</v>
      </c>
      <c r="F289" s="9" t="s">
        <v>525</v>
      </c>
      <c r="G289" s="12" t="n">
        <f aca="false">31.578947368421-13.1174089068825</f>
        <v>18.4615384615385</v>
      </c>
      <c r="H289" s="9" t="s">
        <v>230</v>
      </c>
      <c r="I289" s="12" t="n">
        <f aca="false">G289*0.47</f>
        <v>8.6769230769231</v>
      </c>
      <c r="J289" s="9" t="s">
        <v>36</v>
      </c>
      <c r="K289" s="9" t="s">
        <v>526</v>
      </c>
      <c r="L289" s="0" t="n">
        <v>1999.5</v>
      </c>
      <c r="M289" s="9" t="s">
        <v>38</v>
      </c>
      <c r="N289" s="11" t="n">
        <v>14.681171</v>
      </c>
      <c r="O289" s="11" t="n">
        <v>-91.304335</v>
      </c>
      <c r="P289" s="9" t="s">
        <v>39</v>
      </c>
      <c r="Q289" s="9" t="s">
        <v>110</v>
      </c>
      <c r="R289" s="9" t="s">
        <v>41</v>
      </c>
      <c r="S289" s="9" t="s">
        <v>465</v>
      </c>
      <c r="T289" s="9" t="s">
        <v>207</v>
      </c>
      <c r="U289" s="9" t="n">
        <v>7</v>
      </c>
      <c r="V289" s="9" t="n">
        <v>7</v>
      </c>
      <c r="W289" s="9" t="n">
        <v>270</v>
      </c>
      <c r="X289" s="9"/>
      <c r="Y289" s="9" t="n">
        <f aca="false">W289+X289</f>
        <v>270</v>
      </c>
      <c r="Z289" s="9"/>
      <c r="AA289" s="12" t="n">
        <f aca="false">AB289/I289</f>
        <v>0.298245614035083</v>
      </c>
      <c r="AB289" s="12" t="n">
        <f aca="false">(13.1174089068825-7.61133603238865)*0.47</f>
        <v>2.58785425101211</v>
      </c>
      <c r="AC289" s="12" t="n">
        <f aca="false">I289/V289</f>
        <v>1.23956043956044</v>
      </c>
      <c r="AD289" s="12" t="n">
        <f aca="false">AB289/V289</f>
        <v>0.369693464430301</v>
      </c>
    </row>
    <row r="290" customFormat="false" ht="13.8" hidden="false" customHeight="false" outlineLevel="0" collapsed="false">
      <c r="A290" s="9" t="n">
        <v>289</v>
      </c>
      <c r="B290" s="9" t="s">
        <v>30</v>
      </c>
      <c r="C290" s="9" t="s">
        <v>92</v>
      </c>
      <c r="D290" s="9" t="s">
        <v>534</v>
      </c>
      <c r="E290" s="9" t="s">
        <v>535</v>
      </c>
      <c r="F290" s="9"/>
      <c r="G290" s="9" t="n">
        <f aca="false">(768+2335+1112+6490)/1000</f>
        <v>10.705</v>
      </c>
      <c r="H290" s="9" t="s">
        <v>36</v>
      </c>
      <c r="I290" s="9"/>
      <c r="J290" s="9"/>
      <c r="K290" s="9" t="s">
        <v>536</v>
      </c>
      <c r="L290" s="0" t="n">
        <v>2000</v>
      </c>
      <c r="M290" s="9" t="s">
        <v>38</v>
      </c>
      <c r="N290" s="11" t="n">
        <v>43.892158</v>
      </c>
      <c r="O290" s="11" t="n">
        <v>-88.797414</v>
      </c>
      <c r="P290" s="9" t="s">
        <v>97</v>
      </c>
      <c r="Q290" s="9" t="s">
        <v>98</v>
      </c>
      <c r="R290" s="9" t="s">
        <v>99</v>
      </c>
      <c r="S290" s="9" t="s">
        <v>537</v>
      </c>
      <c r="T290" s="9" t="s">
        <v>325</v>
      </c>
      <c r="U290" s="9" t="n">
        <v>11</v>
      </c>
      <c r="V290" s="9" t="n">
        <v>11</v>
      </c>
      <c r="W290" s="9" t="n">
        <v>571</v>
      </c>
      <c r="X290" s="9"/>
      <c r="Y290" s="9" t="n">
        <f aca="false">W290+X290</f>
        <v>571</v>
      </c>
      <c r="Z290" s="9"/>
      <c r="AA290" s="12" t="n">
        <f aca="false">AB290/G290</f>
        <v>0.109107893507707</v>
      </c>
      <c r="AB290" s="12" t="n">
        <v>1.168</v>
      </c>
      <c r="AC290" s="12" t="n">
        <f aca="false">G290/V290</f>
        <v>0.973181818181818</v>
      </c>
      <c r="AD290" s="12" t="n">
        <f aca="false">AB290/V290</f>
        <v>0.106181818181818</v>
      </c>
    </row>
    <row r="291" customFormat="false" ht="13.8" hidden="false" customHeight="false" outlineLevel="0" collapsed="false">
      <c r="A291" s="9" t="n">
        <v>290</v>
      </c>
      <c r="B291" s="9" t="s">
        <v>30</v>
      </c>
      <c r="C291" s="9" t="s">
        <v>208</v>
      </c>
      <c r="D291" s="9" t="s">
        <v>538</v>
      </c>
      <c r="E291" s="9" t="s">
        <v>539</v>
      </c>
      <c r="F291" s="9" t="s">
        <v>540</v>
      </c>
      <c r="G291" s="9" t="n">
        <f aca="false">19.2+29</f>
        <v>48.2</v>
      </c>
      <c r="H291" s="9" t="s">
        <v>230</v>
      </c>
      <c r="I291" s="9" t="n">
        <f aca="false">G291*0.47</f>
        <v>22.654</v>
      </c>
      <c r="J291" s="9" t="s">
        <v>36</v>
      </c>
      <c r="K291" s="9" t="s">
        <v>541</v>
      </c>
      <c r="L291" s="0" t="n">
        <v>2004</v>
      </c>
      <c r="M291" s="9" t="s">
        <v>38</v>
      </c>
      <c r="N291" s="11" t="n">
        <v>10.0333333</v>
      </c>
      <c r="O291" s="11" t="n">
        <v>-84.1333333333333</v>
      </c>
      <c r="P291" s="9" t="s">
        <v>39</v>
      </c>
      <c r="Q291" s="9" t="s">
        <v>110</v>
      </c>
      <c r="R291" s="9" t="s">
        <v>41</v>
      </c>
      <c r="S291" s="9" t="s">
        <v>447</v>
      </c>
      <c r="T291" s="9" t="s">
        <v>233</v>
      </c>
      <c r="U291" s="9" t="n">
        <v>7</v>
      </c>
      <c r="V291" s="9" t="n">
        <v>7</v>
      </c>
      <c r="W291" s="9" t="n">
        <v>278</v>
      </c>
      <c r="X291" s="9" t="n">
        <v>4722</v>
      </c>
      <c r="Y291" s="9" t="n">
        <f aca="false">W291+X291</f>
        <v>5000</v>
      </c>
      <c r="Z291" s="9"/>
      <c r="AA291" s="12" t="n">
        <v>0.24</v>
      </c>
      <c r="AB291" s="12"/>
      <c r="AC291" s="12" t="n">
        <f aca="false">I291/V291</f>
        <v>3.23628571428571</v>
      </c>
      <c r="AD291" s="12" t="n">
        <f aca="false">(I291/V291)*AA291</f>
        <v>0.776708571428571</v>
      </c>
    </row>
    <row r="292" customFormat="false" ht="13.8" hidden="false" customHeight="false" outlineLevel="0" collapsed="false">
      <c r="A292" s="9" t="n">
        <v>291</v>
      </c>
      <c r="B292" s="9" t="s">
        <v>30</v>
      </c>
      <c r="C292" s="9" t="s">
        <v>208</v>
      </c>
      <c r="D292" s="9" t="s">
        <v>538</v>
      </c>
      <c r="E292" s="9" t="s">
        <v>539</v>
      </c>
      <c r="F292" s="9" t="s">
        <v>540</v>
      </c>
      <c r="G292" s="9" t="n">
        <f aca="false">16.5+26.95</f>
        <v>43.45</v>
      </c>
      <c r="H292" s="9" t="s">
        <v>230</v>
      </c>
      <c r="I292" s="9" t="n">
        <f aca="false">G292*0.47</f>
        <v>20.4215</v>
      </c>
      <c r="J292" s="9" t="s">
        <v>36</v>
      </c>
      <c r="K292" s="9" t="s">
        <v>541</v>
      </c>
      <c r="L292" s="0" t="n">
        <v>2005</v>
      </c>
      <c r="M292" s="9" t="s">
        <v>38</v>
      </c>
      <c r="N292" s="11" t="n">
        <v>10.0333333</v>
      </c>
      <c r="O292" s="11" t="n">
        <v>-84.1333333333333</v>
      </c>
      <c r="P292" s="9" t="s">
        <v>39</v>
      </c>
      <c r="Q292" s="9" t="s">
        <v>110</v>
      </c>
      <c r="R292" s="9" t="s">
        <v>41</v>
      </c>
      <c r="S292" s="9" t="s">
        <v>447</v>
      </c>
      <c r="T292" s="9" t="s">
        <v>233</v>
      </c>
      <c r="U292" s="9" t="n">
        <v>8</v>
      </c>
      <c r="V292" s="9" t="n">
        <v>8</v>
      </c>
      <c r="W292" s="9" t="n">
        <v>278</v>
      </c>
      <c r="X292" s="9" t="n">
        <v>4722</v>
      </c>
      <c r="Y292" s="9" t="n">
        <f aca="false">W292+X292</f>
        <v>5000</v>
      </c>
      <c r="Z292" s="9"/>
      <c r="AA292" s="12" t="n">
        <f aca="false">AB292/I292</f>
        <v>0.108170310701956</v>
      </c>
      <c r="AB292" s="12" t="n">
        <f aca="false">4.7*0.47</f>
        <v>2.209</v>
      </c>
      <c r="AC292" s="12" t="n">
        <f aca="false">I292/V292</f>
        <v>2.5526875</v>
      </c>
      <c r="AD292" s="12" t="n">
        <f aca="false">AB292/V292</f>
        <v>0.276125</v>
      </c>
    </row>
    <row r="293" customFormat="false" ht="13.8" hidden="false" customHeight="false" outlineLevel="0" collapsed="false">
      <c r="A293" s="9" t="n">
        <v>292</v>
      </c>
      <c r="B293" s="9" t="s">
        <v>30</v>
      </c>
      <c r="C293" s="9" t="s">
        <v>47</v>
      </c>
      <c r="D293" s="9" t="s">
        <v>542</v>
      </c>
      <c r="E293" s="9" t="s">
        <v>543</v>
      </c>
      <c r="F293" s="9" t="s">
        <v>544</v>
      </c>
      <c r="G293" s="9" t="n">
        <v>25.1</v>
      </c>
      <c r="H293" s="9" t="s">
        <v>36</v>
      </c>
      <c r="I293" s="9"/>
      <c r="J293" s="9"/>
      <c r="K293" s="9" t="s">
        <v>545</v>
      </c>
      <c r="L293" s="0" t="n">
        <v>2012</v>
      </c>
      <c r="M293" s="9" t="s">
        <v>38</v>
      </c>
      <c r="N293" s="11" t="n">
        <v>30.980517</v>
      </c>
      <c r="O293" s="11" t="n">
        <v>75.727231</v>
      </c>
      <c r="P293" s="9" t="s">
        <v>39</v>
      </c>
      <c r="Q293" s="9" t="s">
        <v>40</v>
      </c>
      <c r="R293" s="9" t="s">
        <v>41</v>
      </c>
      <c r="S293" s="9" t="s">
        <v>192</v>
      </c>
      <c r="T293" s="9" t="s">
        <v>112</v>
      </c>
      <c r="U293" s="9" t="n">
        <v>7</v>
      </c>
      <c r="V293" s="9" t="n">
        <v>7</v>
      </c>
      <c r="W293" s="9" t="n">
        <v>500</v>
      </c>
      <c r="X293" s="9"/>
      <c r="Y293" s="9" t="n">
        <f aca="false">W293+X293</f>
        <v>500</v>
      </c>
      <c r="Z293" s="9"/>
      <c r="AA293" s="12" t="n">
        <f aca="false">AB293/G293</f>
        <v>0.227091633466135</v>
      </c>
      <c r="AB293" s="12" t="n">
        <v>5.7</v>
      </c>
      <c r="AC293" s="12" t="n">
        <f aca="false">G293/V293</f>
        <v>3.58571428571429</v>
      </c>
      <c r="AD293" s="12" t="n">
        <f aca="false">AB293/V293</f>
        <v>0.814285714285714</v>
      </c>
    </row>
    <row r="294" customFormat="false" ht="13.8" hidden="false" customHeight="false" outlineLevel="0" collapsed="false">
      <c r="A294" s="9" t="n">
        <v>293</v>
      </c>
      <c r="B294" s="9" t="s">
        <v>30</v>
      </c>
      <c r="C294" s="9" t="s">
        <v>47</v>
      </c>
      <c r="D294" s="9" t="s">
        <v>546</v>
      </c>
      <c r="E294" s="9" t="s">
        <v>543</v>
      </c>
      <c r="F294" s="9" t="s">
        <v>544</v>
      </c>
      <c r="G294" s="9" t="n">
        <v>27</v>
      </c>
      <c r="H294" s="9" t="s">
        <v>36</v>
      </c>
      <c r="I294" s="9"/>
      <c r="J294" s="9"/>
      <c r="K294" s="9" t="s">
        <v>545</v>
      </c>
      <c r="L294" s="0" t="n">
        <v>2012</v>
      </c>
      <c r="M294" s="9" t="s">
        <v>38</v>
      </c>
      <c r="N294" s="11" t="n">
        <v>30.980517</v>
      </c>
      <c r="O294" s="11" t="n">
        <v>75.727231</v>
      </c>
      <c r="P294" s="9" t="s">
        <v>39</v>
      </c>
      <c r="Q294" s="9" t="s">
        <v>40</v>
      </c>
      <c r="R294" s="9" t="s">
        <v>41</v>
      </c>
      <c r="S294" s="9" t="s">
        <v>192</v>
      </c>
      <c r="T294" s="9" t="s">
        <v>112</v>
      </c>
      <c r="U294" s="9" t="n">
        <v>7</v>
      </c>
      <c r="V294" s="9" t="n">
        <v>7</v>
      </c>
      <c r="W294" s="9" t="n">
        <v>500</v>
      </c>
      <c r="X294" s="9"/>
      <c r="Y294" s="9" t="n">
        <f aca="false">W294+X294</f>
        <v>500</v>
      </c>
      <c r="Z294" s="9"/>
      <c r="AA294" s="12" t="n">
        <f aca="false">AB294/G294</f>
        <v>0.411111111111111</v>
      </c>
      <c r="AB294" s="12" t="n">
        <v>11.1</v>
      </c>
      <c r="AC294" s="12" t="n">
        <f aca="false">G294/V294</f>
        <v>3.85714285714286</v>
      </c>
      <c r="AD294" s="12" t="n">
        <f aca="false">AB294/V294</f>
        <v>1.58571428571429</v>
      </c>
    </row>
    <row r="295" customFormat="false" ht="13.8" hidden="false" customHeight="false" outlineLevel="0" collapsed="false">
      <c r="A295" s="9" t="n">
        <v>294</v>
      </c>
      <c r="B295" s="9" t="s">
        <v>30</v>
      </c>
      <c r="C295" s="9" t="s">
        <v>47</v>
      </c>
      <c r="D295" s="9" t="s">
        <v>547</v>
      </c>
      <c r="E295" s="9" t="s">
        <v>543</v>
      </c>
      <c r="F295" s="9" t="s">
        <v>544</v>
      </c>
      <c r="G295" s="9" t="n">
        <v>57.2</v>
      </c>
      <c r="H295" s="9" t="s">
        <v>36</v>
      </c>
      <c r="I295" s="9"/>
      <c r="J295" s="9"/>
      <c r="K295" s="9" t="s">
        <v>545</v>
      </c>
      <c r="L295" s="0" t="n">
        <v>2012</v>
      </c>
      <c r="M295" s="9" t="s">
        <v>38</v>
      </c>
      <c r="N295" s="11" t="n">
        <v>30.980517</v>
      </c>
      <c r="O295" s="11" t="n">
        <v>75.727231</v>
      </c>
      <c r="P295" s="9" t="s">
        <v>39</v>
      </c>
      <c r="Q295" s="9" t="s">
        <v>40</v>
      </c>
      <c r="R295" s="9" t="s">
        <v>41</v>
      </c>
      <c r="S295" s="9" t="s">
        <v>192</v>
      </c>
      <c r="T295" s="9" t="s">
        <v>112</v>
      </c>
      <c r="U295" s="9" t="n">
        <v>7</v>
      </c>
      <c r="V295" s="9" t="n">
        <v>7</v>
      </c>
      <c r="W295" s="9" t="n">
        <v>500</v>
      </c>
      <c r="X295" s="9"/>
      <c r="Y295" s="9" t="n">
        <f aca="false">W295+X295</f>
        <v>500</v>
      </c>
      <c r="Z295" s="9"/>
      <c r="AA295" s="12" t="n">
        <f aca="false">AB295/G295</f>
        <v>0.22027972027972</v>
      </c>
      <c r="AB295" s="12" t="n">
        <v>12.6</v>
      </c>
      <c r="AC295" s="12" t="n">
        <f aca="false">G295/V295</f>
        <v>8.17142857142857</v>
      </c>
      <c r="AD295" s="12" t="n">
        <f aca="false">AB295/V295</f>
        <v>1.8</v>
      </c>
    </row>
    <row r="296" customFormat="false" ht="13.8" hidden="false" customHeight="false" outlineLevel="0" collapsed="false">
      <c r="A296" s="9" t="n">
        <v>295</v>
      </c>
      <c r="B296" s="9" t="s">
        <v>30</v>
      </c>
      <c r="C296" s="9" t="s">
        <v>47</v>
      </c>
      <c r="D296" s="9" t="s">
        <v>548</v>
      </c>
      <c r="E296" s="9" t="s">
        <v>543</v>
      </c>
      <c r="F296" s="9" t="s">
        <v>544</v>
      </c>
      <c r="G296" s="9" t="n">
        <v>68</v>
      </c>
      <c r="H296" s="9" t="s">
        <v>36</v>
      </c>
      <c r="I296" s="9"/>
      <c r="J296" s="9"/>
      <c r="K296" s="9" t="s">
        <v>545</v>
      </c>
      <c r="L296" s="0" t="n">
        <v>2012</v>
      </c>
      <c r="M296" s="9" t="s">
        <v>38</v>
      </c>
      <c r="N296" s="11" t="n">
        <v>30.980517</v>
      </c>
      <c r="O296" s="11" t="n">
        <v>75.727231</v>
      </c>
      <c r="P296" s="9" t="s">
        <v>39</v>
      </c>
      <c r="Q296" s="9" t="s">
        <v>40</v>
      </c>
      <c r="R296" s="9" t="s">
        <v>41</v>
      </c>
      <c r="S296" s="9" t="s">
        <v>192</v>
      </c>
      <c r="T296" s="9" t="s">
        <v>112</v>
      </c>
      <c r="U296" s="9" t="n">
        <v>7</v>
      </c>
      <c r="V296" s="9" t="n">
        <v>7</v>
      </c>
      <c r="W296" s="9" t="n">
        <v>500</v>
      </c>
      <c r="X296" s="9"/>
      <c r="Y296" s="9" t="n">
        <f aca="false">W296+X296</f>
        <v>500</v>
      </c>
      <c r="Z296" s="9"/>
      <c r="AA296" s="12" t="n">
        <f aca="false">AB296/G296</f>
        <v>0.248529411764706</v>
      </c>
      <c r="AB296" s="12" t="n">
        <v>16.9</v>
      </c>
      <c r="AC296" s="12" t="n">
        <f aca="false">G296/V296</f>
        <v>9.71428571428571</v>
      </c>
      <c r="AD296" s="12" t="n">
        <f aca="false">AB296/V296</f>
        <v>2.41428571428571</v>
      </c>
    </row>
    <row r="297" customFormat="false" ht="13.8" hidden="false" customHeight="false" outlineLevel="0" collapsed="false">
      <c r="A297" s="9" t="n">
        <v>296</v>
      </c>
      <c r="B297" s="9" t="s">
        <v>30</v>
      </c>
      <c r="C297" s="9" t="s">
        <v>47</v>
      </c>
      <c r="D297" s="9" t="s">
        <v>549</v>
      </c>
      <c r="E297" s="9" t="s">
        <v>543</v>
      </c>
      <c r="F297" s="9" t="s">
        <v>544</v>
      </c>
      <c r="G297" s="9" t="n">
        <v>58</v>
      </c>
      <c r="H297" s="9" t="s">
        <v>36</v>
      </c>
      <c r="I297" s="9"/>
      <c r="J297" s="9"/>
      <c r="K297" s="9" t="s">
        <v>545</v>
      </c>
      <c r="L297" s="0" t="n">
        <v>2012</v>
      </c>
      <c r="M297" s="9" t="s">
        <v>38</v>
      </c>
      <c r="N297" s="11" t="n">
        <v>30.980517</v>
      </c>
      <c r="O297" s="11" t="n">
        <v>75.727231</v>
      </c>
      <c r="P297" s="9" t="s">
        <v>39</v>
      </c>
      <c r="Q297" s="9" t="s">
        <v>40</v>
      </c>
      <c r="R297" s="9" t="s">
        <v>41</v>
      </c>
      <c r="S297" s="9" t="s">
        <v>192</v>
      </c>
      <c r="T297" s="9" t="s">
        <v>112</v>
      </c>
      <c r="U297" s="9" t="n">
        <v>7</v>
      </c>
      <c r="V297" s="9" t="n">
        <v>7</v>
      </c>
      <c r="W297" s="9" t="n">
        <v>500</v>
      </c>
      <c r="X297" s="9"/>
      <c r="Y297" s="9" t="n">
        <f aca="false">W297+X297</f>
        <v>500</v>
      </c>
      <c r="Z297" s="9"/>
      <c r="AA297" s="12" t="n">
        <f aca="false">AB297/G297</f>
        <v>0.272413793103448</v>
      </c>
      <c r="AB297" s="12" t="n">
        <v>15.8</v>
      </c>
      <c r="AC297" s="12" t="n">
        <f aca="false">G297/V297</f>
        <v>8.28571428571429</v>
      </c>
      <c r="AD297" s="12" t="n">
        <f aca="false">AB297/V297</f>
        <v>2.25714285714286</v>
      </c>
    </row>
    <row r="298" customFormat="false" ht="13.8" hidden="false" customHeight="false" outlineLevel="0" collapsed="false">
      <c r="A298" s="9" t="n">
        <v>297</v>
      </c>
      <c r="B298" s="9" t="s">
        <v>91</v>
      </c>
      <c r="C298" s="9" t="s">
        <v>208</v>
      </c>
      <c r="D298" s="9" t="s">
        <v>550</v>
      </c>
      <c r="E298" s="9" t="s">
        <v>551</v>
      </c>
      <c r="F298" s="9" t="s">
        <v>552</v>
      </c>
      <c r="G298" s="9" t="n">
        <f aca="false">24298/1000</f>
        <v>24.298</v>
      </c>
      <c r="H298" s="9" t="s">
        <v>36</v>
      </c>
      <c r="I298" s="9"/>
      <c r="J298" s="9"/>
      <c r="K298" s="9" t="s">
        <v>553</v>
      </c>
      <c r="L298" s="0" t="n">
        <v>2002</v>
      </c>
      <c r="M298" s="9" t="s">
        <v>38</v>
      </c>
      <c r="N298" s="11" t="n">
        <v>-1.773997</v>
      </c>
      <c r="O298" s="11" t="n">
        <v>120.512783</v>
      </c>
      <c r="P298" s="9" t="s">
        <v>39</v>
      </c>
      <c r="Q298" s="9" t="s">
        <v>53</v>
      </c>
      <c r="R298" s="9" t="s">
        <v>41</v>
      </c>
      <c r="S298" s="9" t="s">
        <v>460</v>
      </c>
      <c r="T298" s="9" t="s">
        <v>112</v>
      </c>
      <c r="U298" s="9" t="n">
        <v>8</v>
      </c>
      <c r="V298" s="9" t="n">
        <v>8</v>
      </c>
      <c r="W298" s="9" t="n">
        <v>370</v>
      </c>
      <c r="X298" s="9" t="n">
        <v>1111</v>
      </c>
      <c r="Y298" s="9" t="n">
        <f aca="false">W298+X298</f>
        <v>1481</v>
      </c>
      <c r="Z298" s="9"/>
      <c r="AA298" s="12" t="n">
        <v>0.24</v>
      </c>
      <c r="AB298" s="12"/>
      <c r="AC298" s="12" t="n">
        <f aca="false">(G298/(1+AA298))/U298</f>
        <v>2.44939516129032</v>
      </c>
      <c r="AD298" s="12" t="n">
        <f aca="false">AC298*AA298</f>
        <v>0.587854838709677</v>
      </c>
    </row>
    <row r="299" customFormat="false" ht="13.8" hidden="false" customHeight="false" outlineLevel="0" collapsed="false">
      <c r="A299" s="9" t="n">
        <v>298</v>
      </c>
      <c r="B299" s="9" t="s">
        <v>91</v>
      </c>
      <c r="C299" s="9" t="s">
        <v>208</v>
      </c>
      <c r="D299" s="9" t="s">
        <v>554</v>
      </c>
      <c r="E299" s="9" t="s">
        <v>551</v>
      </c>
      <c r="F299" s="9" t="s">
        <v>552</v>
      </c>
      <c r="G299" s="9" t="n">
        <f aca="false">31450/1000</f>
        <v>31.45</v>
      </c>
      <c r="H299" s="9" t="s">
        <v>36</v>
      </c>
      <c r="I299" s="9"/>
      <c r="J299" s="9"/>
      <c r="K299" s="9" t="s">
        <v>553</v>
      </c>
      <c r="L299" s="0" t="n">
        <v>2002</v>
      </c>
      <c r="M299" s="9" t="s">
        <v>38</v>
      </c>
      <c r="N299" s="11" t="n">
        <v>-1.773997</v>
      </c>
      <c r="O299" s="11" t="n">
        <v>120.512783</v>
      </c>
      <c r="P299" s="9" t="s">
        <v>39</v>
      </c>
      <c r="Q299" s="9" t="s">
        <v>53</v>
      </c>
      <c r="R299" s="9" t="s">
        <v>41</v>
      </c>
      <c r="S299" s="9" t="s">
        <v>460</v>
      </c>
      <c r="T299" s="9" t="s">
        <v>112</v>
      </c>
      <c r="U299" s="9" t="n">
        <v>15</v>
      </c>
      <c r="V299" s="9" t="n">
        <v>15</v>
      </c>
      <c r="W299" s="9" t="n">
        <v>370</v>
      </c>
      <c r="X299" s="9" t="n">
        <v>1111</v>
      </c>
      <c r="Y299" s="9" t="n">
        <f aca="false">W299+X299</f>
        <v>1481</v>
      </c>
      <c r="Z299" s="9"/>
      <c r="AA299" s="12" t="n">
        <v>0.24</v>
      </c>
      <c r="AB299" s="12"/>
      <c r="AC299" s="12" t="n">
        <f aca="false">(G299/(1+AA299))/U299</f>
        <v>1.69086021505376</v>
      </c>
      <c r="AD299" s="12" t="n">
        <f aca="false">AC299*AA299</f>
        <v>0.405806451612903</v>
      </c>
    </row>
    <row r="300" customFormat="false" ht="13.8" hidden="false" customHeight="false" outlineLevel="0" collapsed="false">
      <c r="A300" s="9" t="n">
        <v>299</v>
      </c>
      <c r="B300" s="9" t="s">
        <v>30</v>
      </c>
      <c r="C300" s="9" t="s">
        <v>208</v>
      </c>
      <c r="D300" s="9" t="s">
        <v>555</v>
      </c>
      <c r="E300" s="9" t="s">
        <v>556</v>
      </c>
      <c r="F300" s="9" t="s">
        <v>557</v>
      </c>
      <c r="G300" s="9" t="n">
        <v>32</v>
      </c>
      <c r="H300" s="9" t="s">
        <v>36</v>
      </c>
      <c r="I300" s="9"/>
      <c r="J300" s="9"/>
      <c r="K300" s="9" t="s">
        <v>558</v>
      </c>
      <c r="L300" s="0" t="n">
        <v>2011</v>
      </c>
      <c r="M300" s="9" t="s">
        <v>77</v>
      </c>
      <c r="N300" s="11" t="n">
        <v>-12.57972</v>
      </c>
      <c r="O300" s="11" t="n">
        <v>-41.70056</v>
      </c>
      <c r="P300" s="9" t="s">
        <v>39</v>
      </c>
      <c r="Q300" s="9" t="s">
        <v>53</v>
      </c>
      <c r="R300" s="9" t="s">
        <v>41</v>
      </c>
      <c r="S300" s="9" t="s">
        <v>465</v>
      </c>
      <c r="T300" s="9" t="s">
        <v>207</v>
      </c>
      <c r="U300" s="9" t="n">
        <v>30</v>
      </c>
      <c r="V300" s="9" t="n">
        <v>30</v>
      </c>
      <c r="W300" s="9"/>
      <c r="X300" s="9"/>
      <c r="Y300" s="9"/>
      <c r="Z300" s="9"/>
      <c r="AA300" s="12" t="n">
        <v>0.24</v>
      </c>
      <c r="AB300" s="12"/>
      <c r="AC300" s="12" t="n">
        <v>1.06666666666667</v>
      </c>
      <c r="AD300" s="12" t="n">
        <v>0.256</v>
      </c>
    </row>
    <row r="301" customFormat="false" ht="13.8" hidden="false" customHeight="false" outlineLevel="0" collapsed="false">
      <c r="A301" s="9" t="n">
        <v>300</v>
      </c>
      <c r="B301" s="9" t="s">
        <v>30</v>
      </c>
      <c r="C301" s="9" t="s">
        <v>208</v>
      </c>
      <c r="D301" s="9" t="s">
        <v>559</v>
      </c>
      <c r="E301" s="9" t="s">
        <v>556</v>
      </c>
      <c r="F301" s="9" t="s">
        <v>560</v>
      </c>
      <c r="G301" s="9" t="n">
        <v>33</v>
      </c>
      <c r="H301" s="9" t="s">
        <v>36</v>
      </c>
      <c r="I301" s="9"/>
      <c r="J301" s="9"/>
      <c r="K301" s="9" t="s">
        <v>558</v>
      </c>
      <c r="L301" s="0" t="n">
        <v>2011</v>
      </c>
      <c r="M301" s="9" t="s">
        <v>77</v>
      </c>
      <c r="N301" s="11" t="n">
        <v>-12.57972</v>
      </c>
      <c r="O301" s="11" t="n">
        <v>-41.70056</v>
      </c>
      <c r="P301" s="9" t="s">
        <v>39</v>
      </c>
      <c r="Q301" s="9" t="s">
        <v>53</v>
      </c>
      <c r="R301" s="9" t="s">
        <v>41</v>
      </c>
      <c r="S301" s="9" t="s">
        <v>465</v>
      </c>
      <c r="T301" s="9" t="s">
        <v>207</v>
      </c>
      <c r="U301" s="9" t="n">
        <v>30</v>
      </c>
      <c r="V301" s="9" t="n">
        <v>30</v>
      </c>
      <c r="W301" s="9"/>
      <c r="X301" s="9"/>
      <c r="Y301" s="9"/>
      <c r="Z301" s="9"/>
      <c r="AA301" s="12" t="n">
        <v>0.24</v>
      </c>
      <c r="AB301" s="12"/>
      <c r="AC301" s="12" t="n">
        <v>1.1</v>
      </c>
      <c r="AD301" s="12" t="n">
        <v>0.264</v>
      </c>
    </row>
    <row r="302" customFormat="false" ht="13.8" hidden="false" customHeight="false" outlineLevel="0" collapsed="false">
      <c r="A302" s="9" t="n">
        <v>301</v>
      </c>
      <c r="B302" s="9" t="s">
        <v>30</v>
      </c>
      <c r="C302" s="9" t="s">
        <v>208</v>
      </c>
      <c r="D302" s="9" t="s">
        <v>561</v>
      </c>
      <c r="E302" s="9" t="s">
        <v>556</v>
      </c>
      <c r="F302" s="9" t="s">
        <v>562</v>
      </c>
      <c r="G302" s="9" t="n">
        <v>82</v>
      </c>
      <c r="H302" s="9" t="s">
        <v>36</v>
      </c>
      <c r="I302" s="9"/>
      <c r="J302" s="9"/>
      <c r="K302" s="9" t="s">
        <v>558</v>
      </c>
      <c r="L302" s="0" t="n">
        <v>2011</v>
      </c>
      <c r="M302" s="9" t="s">
        <v>77</v>
      </c>
      <c r="N302" s="11" t="n">
        <v>-12.57972</v>
      </c>
      <c r="O302" s="11" t="s">
        <v>563</v>
      </c>
      <c r="P302" s="9" t="s">
        <v>39</v>
      </c>
      <c r="Q302" s="9" t="s">
        <v>53</v>
      </c>
      <c r="R302" s="9" t="s">
        <v>41</v>
      </c>
      <c r="S302" s="9" t="s">
        <v>465</v>
      </c>
      <c r="T302" s="9" t="s">
        <v>207</v>
      </c>
      <c r="U302" s="9" t="n">
        <v>34</v>
      </c>
      <c r="V302" s="9" t="n">
        <v>34</v>
      </c>
      <c r="W302" s="9"/>
      <c r="X302" s="9"/>
      <c r="Y302" s="9"/>
      <c r="Z302" s="9"/>
      <c r="AA302" s="12" t="n">
        <v>0.24</v>
      </c>
      <c r="AB302" s="12"/>
      <c r="AC302" s="12" t="n">
        <v>2.41176470588235</v>
      </c>
      <c r="AD302" s="12" t="n">
        <v>0.578823529411765</v>
      </c>
    </row>
    <row r="303" customFormat="false" ht="13.8" hidden="false" customHeight="false" outlineLevel="0" collapsed="false">
      <c r="A303" s="9" t="n">
        <v>302</v>
      </c>
      <c r="B303" s="9" t="s">
        <v>30</v>
      </c>
      <c r="C303" s="9" t="s">
        <v>115</v>
      </c>
      <c r="D303" s="9" t="s">
        <v>564</v>
      </c>
      <c r="E303" s="9" t="s">
        <v>565</v>
      </c>
      <c r="F303" s="9" t="s">
        <v>566</v>
      </c>
      <c r="G303" s="9" t="n">
        <v>30</v>
      </c>
      <c r="H303" s="9" t="s">
        <v>36</v>
      </c>
      <c r="I303" s="9"/>
      <c r="J303" s="9"/>
      <c r="K303" s="9" t="s">
        <v>558</v>
      </c>
      <c r="L303" s="0" t="n">
        <v>2011</v>
      </c>
      <c r="M303" s="9" t="s">
        <v>77</v>
      </c>
      <c r="N303" s="11" t="n">
        <v>-9.189722</v>
      </c>
      <c r="O303" s="11" t="n">
        <v>-75.015</v>
      </c>
      <c r="P303" s="9" t="s">
        <v>39</v>
      </c>
      <c r="Q303" s="9" t="s">
        <v>110</v>
      </c>
      <c r="R303" s="9" t="s">
        <v>213</v>
      </c>
      <c r="S303" s="9" t="s">
        <v>214</v>
      </c>
      <c r="T303" s="9" t="s">
        <v>207</v>
      </c>
      <c r="U303" s="9" t="n">
        <v>20</v>
      </c>
      <c r="V303" s="9" t="n">
        <v>20</v>
      </c>
      <c r="W303" s="9"/>
      <c r="X303" s="9"/>
      <c r="Y303" s="9"/>
      <c r="Z303" s="9"/>
      <c r="AA303" s="12" t="n">
        <v>0.24</v>
      </c>
      <c r="AB303" s="12"/>
      <c r="AC303" s="12" t="n">
        <f aca="false">G303/V303</f>
        <v>1.5</v>
      </c>
      <c r="AD303" s="12" t="n">
        <f aca="false">(G303/V303)*AA303</f>
        <v>0.36</v>
      </c>
    </row>
    <row r="304" customFormat="false" ht="13.8" hidden="false" customHeight="false" outlineLevel="0" collapsed="false">
      <c r="A304" s="9" t="n">
        <v>303</v>
      </c>
      <c r="B304" s="9" t="s">
        <v>30</v>
      </c>
      <c r="C304" s="9" t="s">
        <v>115</v>
      </c>
      <c r="D304" s="9" t="s">
        <v>567</v>
      </c>
      <c r="E304" s="9" t="s">
        <v>565</v>
      </c>
      <c r="F304" s="9" t="s">
        <v>566</v>
      </c>
      <c r="G304" s="9" t="n">
        <v>34</v>
      </c>
      <c r="H304" s="9" t="s">
        <v>36</v>
      </c>
      <c r="I304" s="9"/>
      <c r="J304" s="9"/>
      <c r="K304" s="9" t="s">
        <v>558</v>
      </c>
      <c r="L304" s="0" t="n">
        <v>2011</v>
      </c>
      <c r="M304" s="9" t="s">
        <v>77</v>
      </c>
      <c r="N304" s="11" t="n">
        <v>-9.189722</v>
      </c>
      <c r="O304" s="11" t="n">
        <v>-75.015</v>
      </c>
      <c r="P304" s="9" t="s">
        <v>39</v>
      </c>
      <c r="Q304" s="9" t="s">
        <v>110</v>
      </c>
      <c r="R304" s="9" t="s">
        <v>213</v>
      </c>
      <c r="S304" s="9" t="s">
        <v>214</v>
      </c>
      <c r="T304" s="9" t="s">
        <v>207</v>
      </c>
      <c r="U304" s="9" t="n">
        <v>12</v>
      </c>
      <c r="V304" s="9" t="n">
        <v>12</v>
      </c>
      <c r="W304" s="9"/>
      <c r="X304" s="9"/>
      <c r="Y304" s="9"/>
      <c r="Z304" s="9"/>
      <c r="AA304" s="12" t="n">
        <v>0.24</v>
      </c>
      <c r="AB304" s="12"/>
      <c r="AC304" s="12" t="n">
        <f aca="false">G304/V304</f>
        <v>2.83333333333333</v>
      </c>
      <c r="AD304" s="12" t="n">
        <f aca="false">(G304/V304)*AA304</f>
        <v>0.68</v>
      </c>
    </row>
    <row r="305" customFormat="false" ht="13.8" hidden="false" customHeight="false" outlineLevel="0" collapsed="false">
      <c r="A305" s="9" t="n">
        <v>304</v>
      </c>
      <c r="B305" s="9" t="s">
        <v>30</v>
      </c>
      <c r="C305" s="9" t="s">
        <v>115</v>
      </c>
      <c r="D305" s="9" t="s">
        <v>568</v>
      </c>
      <c r="E305" s="9" t="s">
        <v>565</v>
      </c>
      <c r="F305" s="9" t="s">
        <v>566</v>
      </c>
      <c r="G305" s="9" t="n">
        <v>13</v>
      </c>
      <c r="H305" s="9" t="s">
        <v>36</v>
      </c>
      <c r="I305" s="9"/>
      <c r="J305" s="9"/>
      <c r="K305" s="9" t="s">
        <v>558</v>
      </c>
      <c r="L305" s="0" t="n">
        <v>2011</v>
      </c>
      <c r="M305" s="9" t="s">
        <v>77</v>
      </c>
      <c r="N305" s="11" t="n">
        <v>-9.189722</v>
      </c>
      <c r="O305" s="11" t="n">
        <v>-75.015</v>
      </c>
      <c r="P305" s="9" t="s">
        <v>39</v>
      </c>
      <c r="Q305" s="9" t="s">
        <v>110</v>
      </c>
      <c r="R305" s="9" t="s">
        <v>213</v>
      </c>
      <c r="S305" s="9" t="s">
        <v>214</v>
      </c>
      <c r="T305" s="9" t="s">
        <v>207</v>
      </c>
      <c r="U305" s="9" t="n">
        <v>5</v>
      </c>
      <c r="V305" s="9" t="n">
        <v>5</v>
      </c>
      <c r="W305" s="9"/>
      <c r="X305" s="9"/>
      <c r="Y305" s="9"/>
      <c r="Z305" s="9"/>
      <c r="AA305" s="12" t="n">
        <v>0.24</v>
      </c>
      <c r="AB305" s="12"/>
      <c r="AC305" s="12" t="n">
        <f aca="false">G305/V305</f>
        <v>2.6</v>
      </c>
      <c r="AD305" s="12" t="n">
        <f aca="false">(G305/V305)*AA305</f>
        <v>0.624</v>
      </c>
    </row>
    <row r="306" customFormat="false" ht="13.8" hidden="false" customHeight="false" outlineLevel="0" collapsed="false">
      <c r="A306" s="9" t="n">
        <v>305</v>
      </c>
      <c r="B306" s="9" t="s">
        <v>30</v>
      </c>
      <c r="C306" s="9" t="s">
        <v>208</v>
      </c>
      <c r="D306" s="9" t="s">
        <v>569</v>
      </c>
      <c r="E306" s="9" t="s">
        <v>570</v>
      </c>
      <c r="F306" s="9" t="s">
        <v>571</v>
      </c>
      <c r="G306" s="9" t="n">
        <v>49</v>
      </c>
      <c r="H306" s="9" t="s">
        <v>36</v>
      </c>
      <c r="I306" s="9"/>
      <c r="J306" s="9"/>
      <c r="K306" s="9" t="s">
        <v>558</v>
      </c>
      <c r="L306" s="0" t="n">
        <v>2011</v>
      </c>
      <c r="M306" s="9" t="s">
        <v>77</v>
      </c>
      <c r="N306" s="11" t="n">
        <v>5.298056</v>
      </c>
      <c r="O306" s="11" t="s">
        <v>572</v>
      </c>
      <c r="P306" s="9" t="s">
        <v>39</v>
      </c>
      <c r="Q306" s="9" t="s">
        <v>110</v>
      </c>
      <c r="R306" s="9" t="s">
        <v>41</v>
      </c>
      <c r="S306" s="9" t="s">
        <v>573</v>
      </c>
      <c r="T306" s="9" t="s">
        <v>207</v>
      </c>
      <c r="U306" s="9" t="n">
        <v>13</v>
      </c>
      <c r="V306" s="9" t="n">
        <v>13</v>
      </c>
      <c r="W306" s="9"/>
      <c r="X306" s="9"/>
      <c r="Y306" s="9"/>
      <c r="Z306" s="9"/>
      <c r="AA306" s="12" t="n">
        <v>0.24</v>
      </c>
      <c r="AB306" s="12"/>
      <c r="AC306" s="12" t="n">
        <v>3.76923076923077</v>
      </c>
      <c r="AD306" s="12" t="n">
        <v>0.904615384615385</v>
      </c>
    </row>
    <row r="307" customFormat="false" ht="13.8" hidden="false" customHeight="false" outlineLevel="0" collapsed="false">
      <c r="A307" s="9" t="n">
        <v>306</v>
      </c>
      <c r="B307" s="9" t="s">
        <v>30</v>
      </c>
      <c r="C307" s="9" t="s">
        <v>208</v>
      </c>
      <c r="D307" s="9" t="s">
        <v>574</v>
      </c>
      <c r="E307" s="9" t="s">
        <v>575</v>
      </c>
      <c r="F307" s="9" t="s">
        <v>576</v>
      </c>
      <c r="G307" s="9" t="n">
        <v>62</v>
      </c>
      <c r="H307" s="9" t="s">
        <v>36</v>
      </c>
      <c r="I307" s="9"/>
      <c r="J307" s="9"/>
      <c r="K307" s="9" t="s">
        <v>558</v>
      </c>
      <c r="L307" s="0" t="n">
        <v>2011</v>
      </c>
      <c r="M307" s="9" t="s">
        <v>77</v>
      </c>
      <c r="N307" s="11" t="n">
        <v>9.416389</v>
      </c>
      <c r="O307" s="11" t="n">
        <v>-82.52056</v>
      </c>
      <c r="P307" s="9" t="s">
        <v>39</v>
      </c>
      <c r="Q307" s="9" t="s">
        <v>110</v>
      </c>
      <c r="R307" s="9" t="s">
        <v>41</v>
      </c>
      <c r="S307" s="9" t="s">
        <v>317</v>
      </c>
      <c r="T307" s="9" t="s">
        <v>233</v>
      </c>
      <c r="U307" s="9" t="n">
        <v>25</v>
      </c>
      <c r="V307" s="9" t="n">
        <v>25</v>
      </c>
      <c r="W307" s="9"/>
      <c r="X307" s="9"/>
      <c r="Y307" s="9"/>
      <c r="Z307" s="9"/>
      <c r="AA307" s="12" t="n">
        <v>0.24</v>
      </c>
      <c r="AB307" s="12"/>
      <c r="AC307" s="12" t="n">
        <f aca="false">G307/V307</f>
        <v>2.48</v>
      </c>
      <c r="AD307" s="12" t="n">
        <f aca="false">(G307/V307)*AA307</f>
        <v>0.5952</v>
      </c>
    </row>
    <row r="308" customFormat="false" ht="13.8" hidden="false" customHeight="false" outlineLevel="0" collapsed="false">
      <c r="A308" s="9" t="n">
        <v>307</v>
      </c>
      <c r="B308" s="9" t="s">
        <v>30</v>
      </c>
      <c r="C308" s="9" t="s">
        <v>208</v>
      </c>
      <c r="D308" s="9" t="s">
        <v>577</v>
      </c>
      <c r="E308" s="9" t="s">
        <v>578</v>
      </c>
      <c r="F308" s="9" t="s">
        <v>579</v>
      </c>
      <c r="G308" s="9" t="n">
        <v>60</v>
      </c>
      <c r="H308" s="9" t="s">
        <v>36</v>
      </c>
      <c r="I308" s="9"/>
      <c r="J308" s="9"/>
      <c r="K308" s="9" t="s">
        <v>558</v>
      </c>
      <c r="L308" s="0" t="n">
        <v>2011</v>
      </c>
      <c r="M308" s="9" t="s">
        <v>77</v>
      </c>
      <c r="N308" s="11" t="n">
        <v>9.906667</v>
      </c>
      <c r="O308" s="11" t="s">
        <v>580</v>
      </c>
      <c r="P308" s="9" t="s">
        <v>39</v>
      </c>
      <c r="Q308" s="9" t="s">
        <v>110</v>
      </c>
      <c r="R308" s="9" t="s">
        <v>41</v>
      </c>
      <c r="S308" s="9" t="s">
        <v>447</v>
      </c>
      <c r="T308" s="9" t="s">
        <v>233</v>
      </c>
      <c r="U308" s="9" t="n">
        <v>10</v>
      </c>
      <c r="V308" s="9" t="n">
        <v>10</v>
      </c>
      <c r="W308" s="9"/>
      <c r="X308" s="9"/>
      <c r="Y308" s="9"/>
      <c r="Z308" s="9"/>
      <c r="AA308" s="12" t="n">
        <v>0.24</v>
      </c>
      <c r="AB308" s="12"/>
      <c r="AC308" s="12" t="n">
        <v>6</v>
      </c>
      <c r="AD308" s="12" t="n">
        <v>1.44</v>
      </c>
    </row>
    <row r="309" customFormat="false" ht="13.8" hidden="false" customHeight="false" outlineLevel="0" collapsed="false">
      <c r="A309" s="9" t="n">
        <v>308</v>
      </c>
      <c r="B309" s="9" t="s">
        <v>30</v>
      </c>
      <c r="C309" s="9" t="s">
        <v>208</v>
      </c>
      <c r="D309" s="9" t="s">
        <v>581</v>
      </c>
      <c r="E309" s="9" t="s">
        <v>582</v>
      </c>
      <c r="F309" s="9" t="s">
        <v>583</v>
      </c>
      <c r="G309" s="9" t="n">
        <v>18</v>
      </c>
      <c r="H309" s="9" t="s">
        <v>36</v>
      </c>
      <c r="I309" s="9"/>
      <c r="J309" s="9"/>
      <c r="K309" s="9" t="s">
        <v>558</v>
      </c>
      <c r="L309" s="0" t="n">
        <v>2011</v>
      </c>
      <c r="M309" s="9" t="s">
        <v>77</v>
      </c>
      <c r="N309" s="11" t="s">
        <v>584</v>
      </c>
      <c r="O309" s="11" t="s">
        <v>585</v>
      </c>
      <c r="P309" s="9" t="s">
        <v>39</v>
      </c>
      <c r="Q309" s="9" t="s">
        <v>53</v>
      </c>
      <c r="R309" s="9" t="s">
        <v>41</v>
      </c>
      <c r="S309" s="9" t="s">
        <v>249</v>
      </c>
      <c r="T309" s="9" t="s">
        <v>43</v>
      </c>
      <c r="U309" s="9" t="n">
        <v>8</v>
      </c>
      <c r="V309" s="9" t="n">
        <v>8</v>
      </c>
      <c r="W309" s="9"/>
      <c r="X309" s="9"/>
      <c r="Y309" s="9"/>
      <c r="Z309" s="9"/>
      <c r="AA309" s="12" t="n">
        <v>0.24</v>
      </c>
      <c r="AB309" s="12"/>
      <c r="AC309" s="12" t="n">
        <v>2.25</v>
      </c>
      <c r="AD309" s="12" t="n">
        <v>0.54</v>
      </c>
    </row>
    <row r="310" customFormat="false" ht="13.8" hidden="false" customHeight="false" outlineLevel="0" collapsed="false">
      <c r="A310" s="9" t="n">
        <v>309</v>
      </c>
      <c r="B310" s="9" t="s">
        <v>30</v>
      </c>
      <c r="C310" s="9" t="s">
        <v>208</v>
      </c>
      <c r="D310" s="9" t="s">
        <v>586</v>
      </c>
      <c r="E310" s="9" t="s">
        <v>582</v>
      </c>
      <c r="F310" s="9" t="s">
        <v>587</v>
      </c>
      <c r="G310" s="9" t="n">
        <v>19</v>
      </c>
      <c r="H310" s="9" t="s">
        <v>36</v>
      </c>
      <c r="I310" s="9"/>
      <c r="J310" s="9"/>
      <c r="K310" s="9" t="s">
        <v>558</v>
      </c>
      <c r="L310" s="0" t="n">
        <v>2011</v>
      </c>
      <c r="M310" s="9" t="s">
        <v>77</v>
      </c>
      <c r="N310" s="11" t="s">
        <v>584</v>
      </c>
      <c r="O310" s="11" t="s">
        <v>585</v>
      </c>
      <c r="P310" s="9" t="s">
        <v>39</v>
      </c>
      <c r="Q310" s="9" t="s">
        <v>53</v>
      </c>
      <c r="R310" s="9" t="s">
        <v>41</v>
      </c>
      <c r="S310" s="9" t="s">
        <v>249</v>
      </c>
      <c r="T310" s="9" t="s">
        <v>43</v>
      </c>
      <c r="U310" s="9" t="n">
        <v>8</v>
      </c>
      <c r="V310" s="9" t="n">
        <v>8</v>
      </c>
      <c r="W310" s="9"/>
      <c r="X310" s="9"/>
      <c r="Y310" s="9"/>
      <c r="Z310" s="9"/>
      <c r="AA310" s="12" t="n">
        <v>0.24</v>
      </c>
      <c r="AB310" s="12"/>
      <c r="AC310" s="12" t="n">
        <v>2.375</v>
      </c>
      <c r="AD310" s="12" t="n">
        <v>0.57</v>
      </c>
    </row>
    <row r="311" customFormat="false" ht="13.8" hidden="false" customHeight="false" outlineLevel="0" collapsed="false">
      <c r="A311" s="9" t="n">
        <v>310</v>
      </c>
      <c r="B311" s="9" t="s">
        <v>30</v>
      </c>
      <c r="C311" s="9" t="s">
        <v>208</v>
      </c>
      <c r="D311" s="9" t="s">
        <v>588</v>
      </c>
      <c r="E311" s="9" t="s">
        <v>582</v>
      </c>
      <c r="F311" s="9" t="s">
        <v>589</v>
      </c>
      <c r="G311" s="9" t="n">
        <v>14</v>
      </c>
      <c r="H311" s="9" t="s">
        <v>36</v>
      </c>
      <c r="I311" s="9"/>
      <c r="J311" s="9"/>
      <c r="K311" s="9" t="s">
        <v>558</v>
      </c>
      <c r="L311" s="0" t="n">
        <v>2011</v>
      </c>
      <c r="M311" s="9" t="s">
        <v>77</v>
      </c>
      <c r="N311" s="11" t="s">
        <v>584</v>
      </c>
      <c r="O311" s="11" t="s">
        <v>585</v>
      </c>
      <c r="P311" s="9" t="s">
        <v>39</v>
      </c>
      <c r="Q311" s="9" t="s">
        <v>53</v>
      </c>
      <c r="R311" s="9" t="s">
        <v>41</v>
      </c>
      <c r="S311" s="9" t="s">
        <v>249</v>
      </c>
      <c r="T311" s="9" t="s">
        <v>43</v>
      </c>
      <c r="U311" s="9" t="n">
        <v>8</v>
      </c>
      <c r="V311" s="9" t="n">
        <v>8</v>
      </c>
      <c r="W311" s="9"/>
      <c r="X311" s="9"/>
      <c r="Y311" s="9"/>
      <c r="Z311" s="9"/>
      <c r="AA311" s="12" t="n">
        <v>0.24</v>
      </c>
      <c r="AB311" s="12"/>
      <c r="AC311" s="12" t="n">
        <v>1.75</v>
      </c>
      <c r="AD311" s="12" t="n">
        <v>0.42</v>
      </c>
    </row>
    <row r="312" customFormat="false" ht="13.8" hidden="false" customHeight="false" outlineLevel="0" collapsed="false">
      <c r="A312" s="9" t="n">
        <v>311</v>
      </c>
      <c r="B312" s="9" t="s">
        <v>30</v>
      </c>
      <c r="C312" s="9" t="s">
        <v>115</v>
      </c>
      <c r="D312" s="9" t="s">
        <v>590</v>
      </c>
      <c r="E312" s="9" t="s">
        <v>591</v>
      </c>
      <c r="F312" s="9" t="s">
        <v>592</v>
      </c>
      <c r="G312" s="9" t="n">
        <v>89</v>
      </c>
      <c r="H312" s="9" t="s">
        <v>36</v>
      </c>
      <c r="I312" s="9"/>
      <c r="J312" s="9"/>
      <c r="K312" s="9" t="s">
        <v>558</v>
      </c>
      <c r="L312" s="0" t="n">
        <v>2011</v>
      </c>
      <c r="M312" s="9" t="s">
        <v>77</v>
      </c>
      <c r="N312" s="11" t="n">
        <v>2.593611</v>
      </c>
      <c r="O312" s="11" t="n">
        <v>14.83</v>
      </c>
      <c r="P312" s="9" t="s">
        <v>39</v>
      </c>
      <c r="Q312" s="9" t="s">
        <v>110</v>
      </c>
      <c r="R312" s="9" t="s">
        <v>41</v>
      </c>
      <c r="S312" s="9" t="s">
        <v>423</v>
      </c>
      <c r="T312" s="9" t="s">
        <v>43</v>
      </c>
      <c r="U312" s="9" t="n">
        <v>40</v>
      </c>
      <c r="V312" s="9" t="n">
        <v>40</v>
      </c>
      <c r="W312" s="9"/>
      <c r="X312" s="9"/>
      <c r="Y312" s="9"/>
      <c r="Z312" s="9"/>
      <c r="AA312" s="12" t="n">
        <v>0.24</v>
      </c>
      <c r="AB312" s="12"/>
      <c r="AC312" s="12" t="n">
        <v>2.225</v>
      </c>
      <c r="AD312" s="12" t="n">
        <v>0.534</v>
      </c>
    </row>
    <row r="313" customFormat="false" ht="13.8" hidden="false" customHeight="false" outlineLevel="0" collapsed="false">
      <c r="A313" s="9" t="n">
        <v>312</v>
      </c>
      <c r="B313" s="9" t="s">
        <v>30</v>
      </c>
      <c r="C313" s="9" t="s">
        <v>47</v>
      </c>
      <c r="D313" s="9" t="s">
        <v>593</v>
      </c>
      <c r="E313" s="9" t="s">
        <v>594</v>
      </c>
      <c r="F313" s="9" t="s">
        <v>595</v>
      </c>
      <c r="G313" s="9" t="n">
        <f aca="false">0.22+4.3+0.5</f>
        <v>5.02</v>
      </c>
      <c r="H313" s="9" t="s">
        <v>36</v>
      </c>
      <c r="I313" s="9"/>
      <c r="J313" s="9"/>
      <c r="K313" s="9" t="s">
        <v>596</v>
      </c>
      <c r="L313" s="0" t="n">
        <v>2003</v>
      </c>
      <c r="M313" s="9" t="s">
        <v>38</v>
      </c>
      <c r="N313" s="11" t="n">
        <v>21.2</v>
      </c>
      <c r="O313" s="11" t="n">
        <v>81.6</v>
      </c>
      <c r="P313" s="9" t="s">
        <v>39</v>
      </c>
      <c r="Q313" s="9" t="s">
        <v>53</v>
      </c>
      <c r="R313" s="9" t="s">
        <v>41</v>
      </c>
      <c r="S313" s="9" t="s">
        <v>192</v>
      </c>
      <c r="T313" s="9" t="s">
        <v>112</v>
      </c>
      <c r="U313" s="9" t="n">
        <v>5</v>
      </c>
      <c r="V313" s="9" t="n">
        <v>5</v>
      </c>
      <c r="W313" s="9" t="n">
        <v>606</v>
      </c>
      <c r="X313" s="9"/>
      <c r="Y313" s="9" t="n">
        <f aca="false">W313+X313</f>
        <v>606</v>
      </c>
      <c r="Z313" s="9"/>
      <c r="AA313" s="12" t="n">
        <f aca="false">AB313/G313</f>
        <v>0.254980079681275</v>
      </c>
      <c r="AB313" s="12" t="n">
        <v>1.28</v>
      </c>
      <c r="AC313" s="12" t="n">
        <f aca="false">G313/V313</f>
        <v>1.004</v>
      </c>
      <c r="AD313" s="12" t="n">
        <f aca="false">(G313/V313)*AA313</f>
        <v>0.256</v>
      </c>
    </row>
    <row r="314" customFormat="false" ht="13.8" hidden="false" customHeight="false" outlineLevel="0" collapsed="false">
      <c r="A314" s="9" t="n">
        <v>313</v>
      </c>
      <c r="B314" s="9" t="s">
        <v>30</v>
      </c>
      <c r="C314" s="9" t="s">
        <v>31</v>
      </c>
      <c r="D314" s="9" t="s">
        <v>597</v>
      </c>
      <c r="E314" s="9" t="s">
        <v>598</v>
      </c>
      <c r="F314" s="9" t="s">
        <v>599</v>
      </c>
      <c r="G314" s="12" t="n">
        <v>53.781512605042</v>
      </c>
      <c r="H314" s="9" t="s">
        <v>36</v>
      </c>
      <c r="I314" s="9"/>
      <c r="J314" s="9"/>
      <c r="K314" s="9" t="s">
        <v>600</v>
      </c>
      <c r="L314" s="0" t="n">
        <v>2005</v>
      </c>
      <c r="M314" s="9" t="s">
        <v>38</v>
      </c>
      <c r="N314" s="11" t="n">
        <v>13.58333</v>
      </c>
      <c r="O314" s="11" t="s">
        <v>601</v>
      </c>
      <c r="P314" s="9" t="s">
        <v>39</v>
      </c>
      <c r="Q314" s="9" t="s">
        <v>40</v>
      </c>
      <c r="R314" s="9" t="s">
        <v>41</v>
      </c>
      <c r="S314" s="9" t="s">
        <v>602</v>
      </c>
      <c r="T314" s="9" t="s">
        <v>43</v>
      </c>
      <c r="U314" s="9" t="n">
        <v>35</v>
      </c>
      <c r="V314" s="9" t="n">
        <v>35</v>
      </c>
      <c r="W314" s="9" t="n">
        <v>35</v>
      </c>
      <c r="X314" s="9"/>
      <c r="Y314" s="9" t="n">
        <f aca="false">W314+X314</f>
        <v>35</v>
      </c>
      <c r="Z314" s="9"/>
      <c r="AA314" s="12" t="n">
        <v>0.24</v>
      </c>
      <c r="AB314" s="12"/>
      <c r="AC314" s="12" t="n">
        <f aca="false">G314/V314</f>
        <v>1.53661464585834</v>
      </c>
      <c r="AD314" s="12" t="n">
        <f aca="false">(G314/V314)*AA314</f>
        <v>0.368787515006002</v>
      </c>
    </row>
    <row r="315" customFormat="false" ht="13.8" hidden="false" customHeight="false" outlineLevel="0" collapsed="false">
      <c r="A315" s="9" t="n">
        <v>314</v>
      </c>
      <c r="B315" s="9" t="s">
        <v>30</v>
      </c>
      <c r="C315" s="9" t="s">
        <v>31</v>
      </c>
      <c r="D315" s="9" t="s">
        <v>603</v>
      </c>
      <c r="E315" s="9" t="s">
        <v>598</v>
      </c>
      <c r="F315" s="9" t="s">
        <v>604</v>
      </c>
      <c r="G315" s="12" t="n">
        <v>22.3529411764705</v>
      </c>
      <c r="H315" s="9" t="s">
        <v>36</v>
      </c>
      <c r="I315" s="9"/>
      <c r="J315" s="9"/>
      <c r="K315" s="9" t="s">
        <v>600</v>
      </c>
      <c r="L315" s="0" t="n">
        <v>2005</v>
      </c>
      <c r="M315" s="9" t="s">
        <v>38</v>
      </c>
      <c r="N315" s="11" t="n">
        <v>13.61667</v>
      </c>
      <c r="O315" s="11" t="s">
        <v>605</v>
      </c>
      <c r="P315" s="9" t="s">
        <v>39</v>
      </c>
      <c r="Q315" s="9" t="s">
        <v>40</v>
      </c>
      <c r="R315" s="9" t="s">
        <v>41</v>
      </c>
      <c r="S315" s="9" t="s">
        <v>602</v>
      </c>
      <c r="T315" s="9" t="s">
        <v>43</v>
      </c>
      <c r="U315" s="9" t="n">
        <v>35</v>
      </c>
      <c r="V315" s="9" t="n">
        <v>35</v>
      </c>
      <c r="W315" s="9" t="n">
        <v>35</v>
      </c>
      <c r="X315" s="9"/>
      <c r="Y315" s="9" t="n">
        <f aca="false">W315+X315</f>
        <v>35</v>
      </c>
      <c r="Z315" s="9"/>
      <c r="AA315" s="12" t="n">
        <v>0.24</v>
      </c>
      <c r="AB315" s="12"/>
      <c r="AC315" s="12" t="n">
        <f aca="false">G315/V315</f>
        <v>0.638655462184871</v>
      </c>
      <c r="AD315" s="12" t="n">
        <f aca="false">(G315/V315)*AA315</f>
        <v>0.153277310924369</v>
      </c>
    </row>
    <row r="316" customFormat="false" ht="13.8" hidden="false" customHeight="false" outlineLevel="0" collapsed="false">
      <c r="A316" s="9" t="n">
        <v>315</v>
      </c>
      <c r="B316" s="9" t="s">
        <v>30</v>
      </c>
      <c r="C316" s="9" t="s">
        <v>318</v>
      </c>
      <c r="D316" s="9" t="s">
        <v>606</v>
      </c>
      <c r="E316" s="9" t="s">
        <v>598</v>
      </c>
      <c r="F316" s="9" t="s">
        <v>607</v>
      </c>
      <c r="G316" s="12" t="n">
        <v>4.87394957983192</v>
      </c>
      <c r="H316" s="9" t="s">
        <v>36</v>
      </c>
      <c r="I316" s="9"/>
      <c r="J316" s="9"/>
      <c r="K316" s="9" t="s">
        <v>600</v>
      </c>
      <c r="L316" s="0" t="n">
        <v>2005</v>
      </c>
      <c r="M316" s="9" t="s">
        <v>38</v>
      </c>
      <c r="N316" s="11" t="n">
        <v>13.53333</v>
      </c>
      <c r="O316" s="11" t="s">
        <v>605</v>
      </c>
      <c r="P316" s="9" t="s">
        <v>39</v>
      </c>
      <c r="Q316" s="9" t="s">
        <v>40</v>
      </c>
      <c r="R316" s="9" t="s">
        <v>41</v>
      </c>
      <c r="S316" s="9" t="s">
        <v>602</v>
      </c>
      <c r="T316" s="9" t="s">
        <v>43</v>
      </c>
      <c r="U316" s="9" t="n">
        <v>8</v>
      </c>
      <c r="V316" s="9" t="n">
        <v>8</v>
      </c>
      <c r="W316" s="16" t="n">
        <f aca="false">(1000/1.5)*2</f>
        <v>1333.33333333333</v>
      </c>
      <c r="X316" s="9"/>
      <c r="Y316" s="16" t="n">
        <f aca="false">W316+X316</f>
        <v>1333.33333333333</v>
      </c>
      <c r="Z316" s="9"/>
      <c r="AA316" s="12" t="n">
        <v>0.24</v>
      </c>
      <c r="AB316" s="12"/>
      <c r="AC316" s="12" t="n">
        <f aca="false">G316/V316</f>
        <v>0.60924369747899</v>
      </c>
      <c r="AD316" s="12" t="n">
        <f aca="false">(G316/V316)*AA316</f>
        <v>0.146218487394958</v>
      </c>
    </row>
    <row r="317" customFormat="false" ht="13.8" hidden="false" customHeight="false" outlineLevel="0" collapsed="false">
      <c r="A317" s="9" t="n">
        <v>316</v>
      </c>
      <c r="B317" s="9" t="s">
        <v>30</v>
      </c>
      <c r="C317" s="9" t="s">
        <v>318</v>
      </c>
      <c r="D317" s="9" t="s">
        <v>608</v>
      </c>
      <c r="E317" s="9" t="s">
        <v>598</v>
      </c>
      <c r="F317" s="9" t="s">
        <v>607</v>
      </c>
      <c r="G317" s="12" t="n">
        <v>2.85714285714284</v>
      </c>
      <c r="H317" s="9" t="s">
        <v>36</v>
      </c>
      <c r="I317" s="9"/>
      <c r="J317" s="9"/>
      <c r="K317" s="9" t="s">
        <v>600</v>
      </c>
      <c r="L317" s="0" t="n">
        <v>2005</v>
      </c>
      <c r="M317" s="9" t="s">
        <v>38</v>
      </c>
      <c r="N317" s="11" t="n">
        <v>13.53333</v>
      </c>
      <c r="O317" s="11" t="s">
        <v>605</v>
      </c>
      <c r="P317" s="9" t="s">
        <v>39</v>
      </c>
      <c r="Q317" s="9" t="s">
        <v>40</v>
      </c>
      <c r="R317" s="9" t="s">
        <v>41</v>
      </c>
      <c r="S317" s="9" t="s">
        <v>602</v>
      </c>
      <c r="T317" s="9" t="s">
        <v>43</v>
      </c>
      <c r="U317" s="9" t="n">
        <f aca="false">AVERAGE(9,9,6)</f>
        <v>8</v>
      </c>
      <c r="V317" s="9" t="n">
        <f aca="false">AVERAGE(9,9,6)</f>
        <v>8</v>
      </c>
      <c r="W317" s="16" t="n">
        <f aca="false">(1000/1)*2</f>
        <v>2000</v>
      </c>
      <c r="X317" s="9"/>
      <c r="Y317" s="9" t="n">
        <f aca="false">W317+X317</f>
        <v>2000</v>
      </c>
      <c r="Z317" s="9"/>
      <c r="AA317" s="12" t="n">
        <v>0.24</v>
      </c>
      <c r="AB317" s="12"/>
      <c r="AC317" s="12" t="n">
        <f aca="false">G317/V317</f>
        <v>0.357142857142855</v>
      </c>
      <c r="AD317" s="12" t="n">
        <f aca="false">(G317/V317)*AA317</f>
        <v>0.0857142857142852</v>
      </c>
    </row>
    <row r="318" customFormat="false" ht="13.8" hidden="false" customHeight="false" outlineLevel="0" collapsed="false">
      <c r="A318" s="9" t="n">
        <v>317</v>
      </c>
      <c r="B318" s="9" t="s">
        <v>30</v>
      </c>
      <c r="C318" s="9" t="s">
        <v>318</v>
      </c>
      <c r="D318" s="9" t="s">
        <v>609</v>
      </c>
      <c r="E318" s="9" t="s">
        <v>610</v>
      </c>
      <c r="F318" s="9" t="s">
        <v>611</v>
      </c>
      <c r="G318" s="9" t="n">
        <v>6.5</v>
      </c>
      <c r="H318" s="9" t="s">
        <v>36</v>
      </c>
      <c r="I318" s="9"/>
      <c r="J318" s="9"/>
      <c r="K318" s="9" t="s">
        <v>612</v>
      </c>
      <c r="L318" s="0" t="n">
        <v>2012</v>
      </c>
      <c r="M318" s="9" t="s">
        <v>38</v>
      </c>
      <c r="N318" s="11" t="n">
        <v>17.472309</v>
      </c>
      <c r="O318" s="11" t="n">
        <v>-92.737625</v>
      </c>
      <c r="P318" s="9" t="s">
        <v>39</v>
      </c>
      <c r="Q318" s="9" t="s">
        <v>110</v>
      </c>
      <c r="R318" s="9" t="s">
        <v>41</v>
      </c>
      <c r="S318" s="9" t="s">
        <v>613</v>
      </c>
      <c r="T318" s="9" t="s">
        <v>233</v>
      </c>
      <c r="U318" s="9" t="n">
        <v>15</v>
      </c>
      <c r="V318" s="9" t="n">
        <v>15</v>
      </c>
      <c r="W318" s="9" t="n">
        <v>1110</v>
      </c>
      <c r="X318" s="9"/>
      <c r="Y318" s="9" t="n">
        <f aca="false">W318+X318</f>
        <v>1110</v>
      </c>
      <c r="Z318" s="9"/>
      <c r="AA318" s="12" t="n">
        <v>0.24</v>
      </c>
      <c r="AB318" s="12"/>
      <c r="AC318" s="12" t="n">
        <v>0.433333333333333</v>
      </c>
      <c r="AD318" s="12" t="n">
        <v>0.104</v>
      </c>
    </row>
    <row r="319" customFormat="false" ht="28.35" hidden="false" customHeight="false" outlineLevel="0" collapsed="false">
      <c r="A319" s="9" t="n">
        <v>318</v>
      </c>
      <c r="B319" s="9" t="s">
        <v>91</v>
      </c>
      <c r="C319" s="9" t="s">
        <v>208</v>
      </c>
      <c r="D319" s="13" t="s">
        <v>614</v>
      </c>
      <c r="E319" s="9" t="s">
        <v>615</v>
      </c>
      <c r="F319" s="9" t="s">
        <v>616</v>
      </c>
      <c r="G319" s="9" t="n">
        <v>131</v>
      </c>
      <c r="H319" s="9" t="s">
        <v>36</v>
      </c>
      <c r="I319" s="9"/>
      <c r="J319" s="9"/>
      <c r="K319" s="9" t="s">
        <v>617</v>
      </c>
      <c r="L319" s="0" t="n">
        <v>2006</v>
      </c>
      <c r="M319" s="9" t="s">
        <v>38</v>
      </c>
      <c r="N319" s="11" t="s">
        <v>618</v>
      </c>
      <c r="O319" s="11" t="s">
        <v>619</v>
      </c>
      <c r="P319" s="9" t="s">
        <v>39</v>
      </c>
      <c r="Q319" s="9" t="s">
        <v>53</v>
      </c>
      <c r="R319" s="9" t="s">
        <v>41</v>
      </c>
      <c r="S319" s="9" t="s">
        <v>249</v>
      </c>
      <c r="T319" s="9" t="s">
        <v>43</v>
      </c>
      <c r="U319" s="9" t="n">
        <v>50</v>
      </c>
      <c r="V319" s="9" t="n">
        <v>50</v>
      </c>
      <c r="W319" s="9"/>
      <c r="X319" s="9"/>
      <c r="Y319" s="9"/>
      <c r="Z319" s="9"/>
      <c r="AA319" s="12" t="n">
        <v>0.24</v>
      </c>
      <c r="AB319" s="12"/>
      <c r="AC319" s="12" t="n">
        <v>2.11290322580645</v>
      </c>
      <c r="AD319" s="12" t="n">
        <f aca="false">AC319*AA319</f>
        <v>0.507096774193548</v>
      </c>
    </row>
    <row r="320" customFormat="false" ht="13.8" hidden="false" customHeight="false" outlineLevel="0" collapsed="false">
      <c r="A320" s="9" t="n">
        <v>319</v>
      </c>
      <c r="B320" s="9" t="s">
        <v>91</v>
      </c>
      <c r="C320" s="9" t="s">
        <v>208</v>
      </c>
      <c r="D320" s="9" t="s">
        <v>620</v>
      </c>
      <c r="E320" s="9" t="s">
        <v>615</v>
      </c>
      <c r="F320" s="9" t="s">
        <v>621</v>
      </c>
      <c r="G320" s="9" t="n">
        <v>39</v>
      </c>
      <c r="H320" s="9" t="s">
        <v>36</v>
      </c>
      <c r="I320" s="9"/>
      <c r="J320" s="9"/>
      <c r="K320" s="9" t="s">
        <v>617</v>
      </c>
      <c r="L320" s="0" t="n">
        <v>2006</v>
      </c>
      <c r="M320" s="9" t="s">
        <v>38</v>
      </c>
      <c r="N320" s="11" t="s">
        <v>618</v>
      </c>
      <c r="O320" s="11" t="s">
        <v>619</v>
      </c>
      <c r="P320" s="9" t="s">
        <v>39</v>
      </c>
      <c r="Q320" s="9" t="s">
        <v>53</v>
      </c>
      <c r="R320" s="9" t="s">
        <v>41</v>
      </c>
      <c r="S320" s="9" t="s">
        <v>249</v>
      </c>
      <c r="T320" s="9" t="s">
        <v>43</v>
      </c>
      <c r="U320" s="9" t="n">
        <v>50</v>
      </c>
      <c r="V320" s="9" t="n">
        <v>50</v>
      </c>
      <c r="W320" s="9"/>
      <c r="X320" s="9"/>
      <c r="Y320" s="9"/>
      <c r="Z320" s="9"/>
      <c r="AA320" s="12" t="n">
        <v>0.24</v>
      </c>
      <c r="AB320" s="12"/>
      <c r="AC320" s="12" t="n">
        <v>0.629032258064516</v>
      </c>
      <c r="AD320" s="12" t="n">
        <f aca="false">AC320*AA320</f>
        <v>0.150967741935484</v>
      </c>
    </row>
    <row r="321" customFormat="false" ht="55.2" hidden="false" customHeight="false" outlineLevel="0" collapsed="false">
      <c r="A321" s="9" t="n">
        <v>320</v>
      </c>
      <c r="B321" s="9" t="s">
        <v>91</v>
      </c>
      <c r="C321" s="9" t="s">
        <v>47</v>
      </c>
      <c r="D321" s="9" t="s">
        <v>622</v>
      </c>
      <c r="E321" s="9" t="s">
        <v>623</v>
      </c>
      <c r="F321" s="9" t="s">
        <v>624</v>
      </c>
      <c r="G321" s="9" t="n">
        <v>27</v>
      </c>
      <c r="H321" s="9" t="s">
        <v>36</v>
      </c>
      <c r="I321" s="9"/>
      <c r="J321" s="9"/>
      <c r="K321" s="13" t="s">
        <v>625</v>
      </c>
      <c r="L321" s="0" t="n">
        <v>2012.5</v>
      </c>
      <c r="M321" s="9" t="s">
        <v>38</v>
      </c>
      <c r="N321" s="11" t="n">
        <v>43.54111</v>
      </c>
      <c r="O321" s="11" t="n">
        <v>-80.20889</v>
      </c>
      <c r="P321" s="9" t="s">
        <v>97</v>
      </c>
      <c r="Q321" s="9" t="s">
        <v>98</v>
      </c>
      <c r="R321" s="9" t="s">
        <v>99</v>
      </c>
      <c r="S321" s="9" t="s">
        <v>324</v>
      </c>
      <c r="T321" s="9" t="s">
        <v>325</v>
      </c>
      <c r="U321" s="9" t="n">
        <v>25</v>
      </c>
      <c r="V321" s="9" t="n">
        <v>25</v>
      </c>
      <c r="W321" s="9" t="n">
        <v>111</v>
      </c>
      <c r="X321" s="9"/>
      <c r="Y321" s="9" t="n">
        <f aca="false">W321+X321</f>
        <v>111</v>
      </c>
      <c r="Z321" s="9"/>
      <c r="AA321" s="12" t="n">
        <v>0.26</v>
      </c>
      <c r="AB321" s="12"/>
      <c r="AC321" s="12" t="n">
        <f aca="false">(G321/(1+AA321))/U321</f>
        <v>0.857142857142857</v>
      </c>
      <c r="AD321" s="12" t="n">
        <f aca="false">AC321*AA321</f>
        <v>0.222857142857143</v>
      </c>
    </row>
    <row r="322" customFormat="false" ht="55.2" hidden="false" customHeight="false" outlineLevel="0" collapsed="false">
      <c r="A322" s="9" t="n">
        <v>321</v>
      </c>
      <c r="B322" s="9" t="s">
        <v>91</v>
      </c>
      <c r="C322" s="9" t="s">
        <v>47</v>
      </c>
      <c r="D322" s="9" t="s">
        <v>626</v>
      </c>
      <c r="E322" s="9" t="s">
        <v>623</v>
      </c>
      <c r="F322" s="9" t="s">
        <v>624</v>
      </c>
      <c r="G322" s="9" t="n">
        <v>16</v>
      </c>
      <c r="H322" s="9" t="s">
        <v>36</v>
      </c>
      <c r="I322" s="9"/>
      <c r="J322" s="9"/>
      <c r="K322" s="13" t="s">
        <v>625</v>
      </c>
      <c r="L322" s="0" t="n">
        <v>2012.5</v>
      </c>
      <c r="M322" s="9" t="s">
        <v>38</v>
      </c>
      <c r="N322" s="11" t="n">
        <v>43.54111</v>
      </c>
      <c r="O322" s="11" t="n">
        <v>-80.20889</v>
      </c>
      <c r="P322" s="9" t="s">
        <v>97</v>
      </c>
      <c r="Q322" s="9" t="s">
        <v>98</v>
      </c>
      <c r="R322" s="9" t="s">
        <v>99</v>
      </c>
      <c r="S322" s="9" t="s">
        <v>324</v>
      </c>
      <c r="T322" s="9" t="s">
        <v>325</v>
      </c>
      <c r="U322" s="9" t="n">
        <v>25</v>
      </c>
      <c r="V322" s="9" t="n">
        <v>25</v>
      </c>
      <c r="W322" s="9" t="n">
        <v>111</v>
      </c>
      <c r="X322" s="9"/>
      <c r="Y322" s="9" t="n">
        <f aca="false">W322+X322</f>
        <v>111</v>
      </c>
      <c r="Z322" s="9"/>
      <c r="AA322" s="12" t="n">
        <v>0.26</v>
      </c>
      <c r="AB322" s="12"/>
      <c r="AC322" s="12" t="n">
        <f aca="false">(G322/(1+AA322))/U322</f>
        <v>0.507936507936508</v>
      </c>
      <c r="AD322" s="12" t="n">
        <f aca="false">AC322*AA322</f>
        <v>0.132063492063492</v>
      </c>
    </row>
    <row r="323" customFormat="false" ht="55.2" hidden="false" customHeight="false" outlineLevel="0" collapsed="false">
      <c r="A323" s="9" t="n">
        <v>322</v>
      </c>
      <c r="B323" s="9" t="s">
        <v>91</v>
      </c>
      <c r="C323" s="9" t="s">
        <v>47</v>
      </c>
      <c r="D323" s="13" t="s">
        <v>627</v>
      </c>
      <c r="E323" s="9" t="s">
        <v>623</v>
      </c>
      <c r="F323" s="9" t="s">
        <v>624</v>
      </c>
      <c r="G323" s="9" t="n">
        <v>15</v>
      </c>
      <c r="H323" s="9" t="s">
        <v>36</v>
      </c>
      <c r="I323" s="9"/>
      <c r="J323" s="9"/>
      <c r="K323" s="13" t="s">
        <v>625</v>
      </c>
      <c r="L323" s="0" t="n">
        <v>2012.5</v>
      </c>
      <c r="M323" s="9" t="s">
        <v>38</v>
      </c>
      <c r="N323" s="11" t="n">
        <v>43.54111</v>
      </c>
      <c r="O323" s="11" t="n">
        <v>-80.20889</v>
      </c>
      <c r="P323" s="9" t="s">
        <v>97</v>
      </c>
      <c r="Q323" s="9" t="s">
        <v>98</v>
      </c>
      <c r="R323" s="9" t="s">
        <v>99</v>
      </c>
      <c r="S323" s="9" t="s">
        <v>324</v>
      </c>
      <c r="T323" s="9" t="s">
        <v>325</v>
      </c>
      <c r="U323" s="9" t="n">
        <v>25</v>
      </c>
      <c r="V323" s="9" t="n">
        <v>25</v>
      </c>
      <c r="W323" s="9" t="n">
        <v>111</v>
      </c>
      <c r="X323" s="9"/>
      <c r="Y323" s="9" t="n">
        <f aca="false">W323+X323</f>
        <v>111</v>
      </c>
      <c r="Z323" s="9"/>
      <c r="AA323" s="12" t="n">
        <v>0.26</v>
      </c>
      <c r="AB323" s="12"/>
      <c r="AC323" s="12" t="n">
        <f aca="false">(G323/(1+AA323))/U323</f>
        <v>0.476190476190476</v>
      </c>
      <c r="AD323" s="12" t="n">
        <f aca="false">AC323*AA323</f>
        <v>0.123809523809524</v>
      </c>
    </row>
    <row r="324" customFormat="false" ht="55.2" hidden="false" customHeight="false" outlineLevel="0" collapsed="false">
      <c r="A324" s="9" t="n">
        <v>323</v>
      </c>
      <c r="B324" s="9" t="s">
        <v>91</v>
      </c>
      <c r="C324" s="9" t="s">
        <v>47</v>
      </c>
      <c r="D324" s="9" t="s">
        <v>628</v>
      </c>
      <c r="E324" s="9" t="s">
        <v>623</v>
      </c>
      <c r="F324" s="9" t="s">
        <v>624</v>
      </c>
      <c r="G324" s="9" t="n">
        <v>13</v>
      </c>
      <c r="H324" s="9" t="s">
        <v>36</v>
      </c>
      <c r="I324" s="9"/>
      <c r="J324" s="9"/>
      <c r="K324" s="13" t="s">
        <v>625</v>
      </c>
      <c r="L324" s="0" t="n">
        <v>2012.5</v>
      </c>
      <c r="M324" s="9" t="s">
        <v>38</v>
      </c>
      <c r="N324" s="11" t="n">
        <v>43.54111</v>
      </c>
      <c r="O324" s="11" t="n">
        <v>-80.20889</v>
      </c>
      <c r="P324" s="9" t="s">
        <v>97</v>
      </c>
      <c r="Q324" s="9" t="s">
        <v>98</v>
      </c>
      <c r="R324" s="9" t="s">
        <v>99</v>
      </c>
      <c r="S324" s="9" t="s">
        <v>324</v>
      </c>
      <c r="T324" s="9" t="s">
        <v>325</v>
      </c>
      <c r="U324" s="9" t="n">
        <v>25</v>
      </c>
      <c r="V324" s="9" t="n">
        <v>25</v>
      </c>
      <c r="W324" s="9" t="n">
        <v>111</v>
      </c>
      <c r="X324" s="9"/>
      <c r="Y324" s="9" t="n">
        <f aca="false">W324+X324</f>
        <v>111</v>
      </c>
      <c r="Z324" s="9"/>
      <c r="AA324" s="12" t="n">
        <v>0.26</v>
      </c>
      <c r="AB324" s="12"/>
      <c r="AC324" s="12" t="n">
        <f aca="false">(G324/(1+AA324))/U324</f>
        <v>0.412698412698413</v>
      </c>
      <c r="AD324" s="12" t="n">
        <f aca="false">AC324*AA324</f>
        <v>0.107301587301587</v>
      </c>
    </row>
    <row r="325" customFormat="false" ht="55.2" hidden="false" customHeight="false" outlineLevel="0" collapsed="false">
      <c r="A325" s="9" t="n">
        <v>324</v>
      </c>
      <c r="B325" s="9" t="s">
        <v>91</v>
      </c>
      <c r="C325" s="9" t="s">
        <v>47</v>
      </c>
      <c r="D325" s="9" t="s">
        <v>629</v>
      </c>
      <c r="E325" s="9" t="s">
        <v>623</v>
      </c>
      <c r="F325" s="9" t="s">
        <v>624</v>
      </c>
      <c r="G325" s="9" t="n">
        <v>16</v>
      </c>
      <c r="H325" s="9" t="s">
        <v>36</v>
      </c>
      <c r="I325" s="9"/>
      <c r="J325" s="9"/>
      <c r="K325" s="13" t="s">
        <v>625</v>
      </c>
      <c r="L325" s="0" t="n">
        <v>2012.5</v>
      </c>
      <c r="M325" s="9" t="s">
        <v>38</v>
      </c>
      <c r="N325" s="11" t="n">
        <v>43.54111</v>
      </c>
      <c r="O325" s="11" t="n">
        <v>-80.20889</v>
      </c>
      <c r="P325" s="9" t="s">
        <v>97</v>
      </c>
      <c r="Q325" s="9" t="s">
        <v>98</v>
      </c>
      <c r="R325" s="9" t="s">
        <v>99</v>
      </c>
      <c r="S325" s="9" t="s">
        <v>324</v>
      </c>
      <c r="T325" s="9" t="s">
        <v>325</v>
      </c>
      <c r="U325" s="9" t="n">
        <v>25</v>
      </c>
      <c r="V325" s="9" t="n">
        <v>25</v>
      </c>
      <c r="W325" s="9" t="n">
        <v>111</v>
      </c>
      <c r="X325" s="9"/>
      <c r="Y325" s="9" t="n">
        <f aca="false">W325+X325</f>
        <v>111</v>
      </c>
      <c r="Z325" s="9"/>
      <c r="AA325" s="12" t="n">
        <v>0.26</v>
      </c>
      <c r="AB325" s="12"/>
      <c r="AC325" s="12" t="n">
        <f aca="false">(G325/(1+AA325))/U325</f>
        <v>0.507936507936508</v>
      </c>
      <c r="AD325" s="12" t="n">
        <f aca="false">AC325*AA325</f>
        <v>0.132063492063492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LibreOffice/7.2.5.2$Linux_X86_64 LibreOffice_project/20$Build-2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2018-05-06T20:19:37Z</dcterms:created>
  <dc:creator>Görlich</dc:creator>
  <dc:description/>
  <dc:language>en-US</dc:language>
  <cp:lastModifiedBy/>
  <dcterms:modified xsi:type="dcterms:W3CDTF">2022-04-13T11:25:23Z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